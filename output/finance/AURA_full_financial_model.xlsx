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Me" sheetId="1" state="visible" r:id="rId1"/>
    <sheet xmlns:r="http://schemas.openxmlformats.org/officeDocument/2006/relationships" name="Dashboard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Terms" sheetId="4" state="visible" r:id="rId4"/>
    <sheet xmlns:r="http://schemas.openxmlformats.org/officeDocument/2006/relationships" name="Monthly Model" sheetId="5" state="visible" r:id="rId5"/>
    <sheet xmlns:r="http://schemas.openxmlformats.org/officeDocument/2006/relationships" name="Quarterly Summary" sheetId="6" state="visible" r:id="rId6"/>
    <sheet xmlns:r="http://schemas.openxmlformats.org/officeDocument/2006/relationships" name="Annual Scenarios" sheetId="7" state="visible" r:id="rId7"/>
    <sheet xmlns:r="http://schemas.openxmlformats.org/officeDocument/2006/relationships" name="Unit Economics" sheetId="8" state="visible" r:id="rId8"/>
    <sheet xmlns:r="http://schemas.openxmlformats.org/officeDocument/2006/relationships" name="Checks" sheetId="9" state="visible" r:id="rId9"/>
  </sheets>
  <definedNames/>
  <calcPr calcId="124519" fullCalcOnLoad="1" forceFullCalc="1"/>
</workbook>
</file>

<file path=xl/styles.xml><?xml version="1.0" encoding="utf-8"?>
<styleSheet xmlns="http://schemas.openxmlformats.org/spreadsheetml/2006/main">
  <numFmts count="2">
    <numFmt numFmtId="164" formatCode="0.0%"/>
    <numFmt numFmtId="165" formatCode="€#,##0;[Red]-€#,##0"/>
  </numFmts>
  <fonts count="5">
    <font>
      <name val="Calibri"/>
      <family val="2"/>
      <color theme="1"/>
      <sz val="11"/>
      <scheme val="minor"/>
    </font>
    <font>
      <name val="Arial"/>
      <color rgb="001E1A2A"/>
      <sz val="10"/>
    </font>
    <font>
      <name val="Arial"/>
      <b val="1"/>
      <color rgb="00FFFFFF"/>
      <sz val="13"/>
    </font>
    <font>
      <name val="Arial"/>
      <b val="1"/>
      <color rgb="00FFFFFF"/>
      <sz val="16"/>
    </font>
    <font>
      <name val="Arial"/>
      <b val="1"/>
      <color rgb="001E1A2A"/>
      <sz val="11"/>
    </font>
  </fonts>
  <fills count="6">
    <fill>
      <patternFill/>
    </fill>
    <fill>
      <patternFill patternType="gray125"/>
    </fill>
    <fill>
      <patternFill patternType="solid">
        <fgColor rgb="009C7AE6"/>
      </patternFill>
    </fill>
    <fill>
      <patternFill patternType="solid">
        <fgColor rgb="00EEE8FF"/>
      </patternFill>
    </fill>
    <fill>
      <patternFill patternType="solid">
        <fgColor rgb="00FFFFFF"/>
      </patternFill>
    </fill>
    <fill>
      <patternFill patternType="solid">
        <fgColor rgb="00E2F4DA"/>
      </patternFill>
    </fill>
  </fills>
  <borders count="2">
    <border>
      <left/>
      <right/>
      <top/>
      <bottom/>
      <diagonal/>
    </border>
    <border>
      <left style="thin">
        <color rgb="008A8A98"/>
      </left>
      <right style="thin">
        <color rgb="008A8A98"/>
      </right>
      <top style="thin">
        <color rgb="008A8A98"/>
      </top>
      <bottom style="thin">
        <color rgb="008A8A98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3" fillId="2" borderId="1" applyAlignment="1" pivotButton="0" quotePrefix="0" xfId="0">
      <alignment vertical="center"/>
    </xf>
    <xf numFmtId="0" fontId="2" fillId="2" borderId="1" applyAlignment="1" pivotButton="0" quotePrefix="0" xfId="0">
      <alignment vertical="center"/>
    </xf>
    <xf numFmtId="0" fontId="4" fillId="3" borderId="1" applyAlignment="1" pivotButton="0" quotePrefix="0" xfId="0">
      <alignment vertical="top" wrapText="1"/>
    </xf>
    <xf numFmtId="0" fontId="1" fillId="4" borderId="1" applyAlignment="1" pivotButton="0" quotePrefix="0" xfId="0">
      <alignment vertical="top" wrapText="1"/>
    </xf>
    <xf numFmtId="0" fontId="1" fillId="0" borderId="1" applyAlignment="1" pivotButton="0" quotePrefix="0" xfId="0">
      <alignment vertical="top" wrapText="1"/>
    </xf>
    <xf numFmtId="165" fontId="1" fillId="0" borderId="1" applyAlignment="1" pivotButton="0" quotePrefix="0" xfId="0">
      <alignment vertical="top" wrapText="1"/>
    </xf>
    <xf numFmtId="0" fontId="1" fillId="5" borderId="1" applyAlignment="1" pivotButton="0" quotePrefix="0" xfId="0">
      <alignment vertical="top" wrapText="1"/>
    </xf>
    <xf numFmtId="164" fontId="1" fillId="5" borderId="1" applyAlignment="1" pivotButton="0" quotePrefix="0" xfId="0">
      <alignment vertical="top" wrapText="1"/>
    </xf>
    <xf numFmtId="165" fontId="1" fillId="5" borderId="1" applyAlignment="1" pivotButton="0" quotePrefix="0" xfId="0">
      <alignment vertical="top" wrapText="1"/>
    </xf>
    <xf numFmtId="164" fontId="1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Revenue vs Spend</a:t>
            </a:r>
          </a:p>
        </rich>
      </tx>
    </title>
    <plotArea>
      <lineChart>
        <grouping val="standard"/>
        <ser>
          <idx val="0"/>
          <order val="0"/>
          <tx>
            <strRef>
              <f>'Monthly Model'!J1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'Monthly Model'!$A$2:$A$37</f>
            </numRef>
          </cat>
          <val>
            <numRef>
              <f>'Monthly Model'!$J$2:$J$37</f>
            </numRef>
          </val>
        </ser>
        <ser>
          <idx val="1"/>
          <order val="1"/>
          <tx>
            <strRef>
              <f>'Monthly Model'!K1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'Monthly Model'!$A$2:$A$37</f>
            </numRef>
          </cat>
          <val>
            <numRef>
              <f>'Monthly Model'!$K$2:$K$37</f>
            </numRef>
          </val>
        </ser>
        <ser>
          <idx val="2"/>
          <order val="2"/>
          <tx>
            <strRef>
              <f>'Monthly Model'!L1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'Monthly Model'!$A$2:$A$37</f>
            </numRef>
          </cat>
          <val>
            <numRef>
              <f>'Monthly Model'!$L$2:$L$37</f>
            </numRef>
          </val>
        </ser>
        <ser>
          <idx val="3"/>
          <order val="3"/>
          <tx>
            <strRef>
              <f>'Monthly Model'!M1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'Monthly Model'!$A$2:$A$37</f>
            </numRef>
          </cat>
          <val>
            <numRef>
              <f>'Monthly Model'!$M$2:$M$37</f>
            </numRef>
          </val>
        </ser>
        <ser>
          <idx val="4"/>
          <order val="4"/>
          <tx>
            <strRef>
              <f>'Monthly Model'!N1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'Monthly Model'!$A$2:$A$37</f>
            </numRef>
          </cat>
          <val>
            <numRef>
              <f>'Monthly Model'!$N$2:$N$37</f>
            </numRef>
          </val>
        </ser>
        <ser>
          <idx val="5"/>
          <order val="5"/>
          <tx>
            <strRef>
              <f>'Monthly Model'!O1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'Monthly Model'!$A$2:$A$37</f>
            </numRef>
          </cat>
          <val>
            <numRef>
              <f>'Monthly Model'!$O$2:$O$37</f>
            </numRef>
          </val>
        </ser>
        <ser>
          <idx val="6"/>
          <order val="6"/>
          <tx>
            <strRef>
              <f>'Monthly Model'!P1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'Monthly Model'!$A$2:$A$37</f>
            </numRef>
          </cat>
          <val>
            <numRef>
              <f>'Monthly Model'!$P$2:$P$37</f>
            </numRef>
          </val>
        </ser>
        <ser>
          <idx val="7"/>
          <order val="7"/>
          <tx>
            <strRef>
              <f>'Monthly Model'!Q1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'Monthly Model'!$A$2:$A$37</f>
            </numRef>
          </cat>
          <val>
            <numRef>
              <f>'Monthly Model'!$Q$2:$Q$37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Month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EUR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9</row>
      <rowOff>0</rowOff>
    </from>
    <ext cx="648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10" customWidth="1" min="2" max="2"/>
  </cols>
  <sheetData>
    <row r="1" ht="32" customHeight="1">
      <c r="A1" s="1" t="inlineStr">
        <is>
          <t>AURA Full Financial Model</t>
        </is>
      </c>
      <c r="B1" s="2" t="inlineStr"/>
    </row>
    <row r="2" ht="24" customHeight="1">
      <c r="A2" s="3" t="inlineStr">
        <is>
          <t>Что это</t>
        </is>
      </c>
      <c r="B2" s="4" t="inlineStr">
        <is>
          <t>Редактируемая модель, чтобы понять порядок инвестиций, выручки, расходов, runway и сценариев роста AURA.</t>
        </is>
      </c>
    </row>
    <row r="3" ht="24" customHeight="1">
      <c r="A3" s="3" t="inlineStr">
        <is>
          <t>Валюта модели</t>
        </is>
      </c>
      <c r="B3" s="4" t="inlineStr">
        <is>
          <t>EUR. Подписка задана в USD и переводится через FX в Inputs.</t>
        </is>
      </c>
    </row>
    <row r="4" ht="24" customHeight="1">
      <c r="A4" s="3" t="inlineStr">
        <is>
          <t>Главное ограничение</t>
        </is>
      </c>
      <c r="B4" s="4" t="inlineStr">
        <is>
          <t>Это hypothesis model, а не прогноз продаж. После прототипа нужно заменить assumptions фактическими данными.</t>
        </is>
      </c>
    </row>
    <row r="5" ht="24" customHeight="1">
      <c r="A5" s="3" t="inlineStr">
        <is>
          <t>Как пользоваться</t>
        </is>
      </c>
      <c r="B5" s="4" t="inlineStr">
        <is>
          <t>Менять желтые/зеленые вводные на вкладке Inputs и смотреть Monthly Model, Quarterly Summary, Annual Scenarios.</t>
        </is>
      </c>
    </row>
    <row r="6" ht="24" customHeight="1">
      <c r="A6" s="3" t="inlineStr">
        <is>
          <t>Что считается</t>
        </is>
      </c>
      <c r="B6" s="4" t="inlineStr">
        <is>
          <t>MAU, платящие, выручка, COGS AI/генераций, маркетинг, команда, burn, cumulative cash need, ARR run-rate.</t>
        </is>
      </c>
    </row>
    <row r="7" ht="24" customHeight="1">
      <c r="A7" s="3" t="inlineStr">
        <is>
          <t>Ключевой вывод</t>
        </is>
      </c>
      <c r="B7" s="4" t="inlineStr">
        <is>
          <t>Phase 1 = €4k-€10k. Полный первый год лучше планировать как €80k-€150k runway до доказанного break-even.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2" customWidth="1" min="2" max="2"/>
    <col width="36" customWidth="1" min="3" max="3"/>
    <col width="18" customWidth="1" min="4" max="4"/>
    <col width="18" customWidth="1" min="5" max="5"/>
  </cols>
  <sheetData>
    <row r="1" ht="32" customHeight="1">
      <c r="A1" s="2" t="inlineStr">
        <is>
          <t>AURA Financial Dashboard</t>
        </is>
      </c>
      <c r="B1" s="2" t="inlineStr"/>
      <c r="C1" s="2" t="inlineStr"/>
      <c r="D1" s="2" t="inlineStr"/>
      <c r="E1" s="2" t="inlineStr"/>
    </row>
    <row r="2" ht="24" customHeight="1">
      <c r="A2" s="5" t="inlineStr">
        <is>
          <t>Metric</t>
        </is>
      </c>
      <c r="B2" s="5" t="inlineStr">
        <is>
          <t>Value</t>
        </is>
      </c>
      <c r="C2" s="5" t="inlineStr">
        <is>
          <t>Source</t>
        </is>
      </c>
      <c r="D2" s="5" t="inlineStr"/>
      <c r="E2" s="5" t="inlineStr"/>
    </row>
    <row r="3" ht="24" customHeight="1">
      <c r="A3" s="5" t="inlineStr">
        <is>
          <t>Peak cash need</t>
        </is>
      </c>
      <c r="B3" s="6">
        <f>'Monthly Model'!S37</f>
        <v/>
      </c>
      <c r="C3" s="5" t="inlineStr">
        <is>
          <t>Monthly Model</t>
        </is>
      </c>
      <c r="D3" s="5" t="inlineStr"/>
      <c r="E3" s="5" t="inlineStr"/>
    </row>
    <row r="4" ht="24" customHeight="1">
      <c r="A4" s="5" t="inlineStr">
        <is>
          <t>Year 1 revenue</t>
        </is>
      </c>
      <c r="B4" s="6">
        <f>'Quarterly Summary'!D5</f>
        <v/>
      </c>
      <c r="C4" s="5" t="inlineStr">
        <is>
          <t>Q4 cumulative year view</t>
        </is>
      </c>
      <c r="D4" s="5" t="inlineStr"/>
      <c r="E4" s="5" t="inlineStr"/>
    </row>
    <row r="5" ht="24" customHeight="1">
      <c r="A5" s="5" t="inlineStr">
        <is>
          <t>Month 12 ARR run-rate</t>
        </is>
      </c>
      <c r="B5" s="6">
        <f>'Monthly Model'!T13</f>
        <v/>
      </c>
      <c r="C5" s="5" t="inlineStr">
        <is>
          <t>Monthly Model</t>
        </is>
      </c>
      <c r="D5" s="5" t="inlineStr"/>
      <c r="E5" s="5" t="inlineStr"/>
    </row>
    <row r="6" ht="24" customHeight="1">
      <c r="A6" s="5" t="inlineStr">
        <is>
          <t>Month 12 net cashflow</t>
        </is>
      </c>
      <c r="B6" s="6">
        <f>'Monthly Model'!R13</f>
        <v/>
      </c>
      <c r="C6" s="5" t="inlineStr">
        <is>
          <t>Monthly Model</t>
        </is>
      </c>
      <c r="D6" s="5" t="inlineStr"/>
      <c r="E6" s="5" t="inlineStr"/>
    </row>
    <row r="7" ht="24" customHeight="1">
      <c r="A7" s="5" t="inlineStr">
        <is>
          <t>Break-even note</t>
        </is>
      </c>
      <c r="B7" s="5" t="inlineStr">
        <is>
          <t>Base-case break-even likely around Q4 / Q1 next year, not in first 3 months.</t>
        </is>
      </c>
      <c r="C7" s="5" t="inlineStr"/>
      <c r="D7" s="5" t="inlineStr"/>
      <c r="E7" s="5" t="inlineStr"/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24" customWidth="1" min="3" max="3"/>
    <col width="70" customWidth="1" min="4" max="4"/>
    <col width="14" customWidth="1" min="5" max="5"/>
  </cols>
  <sheetData>
    <row r="1" ht="32" customHeight="1">
      <c r="A1" s="2" t="inlineStr">
        <is>
          <t>Input</t>
        </is>
      </c>
      <c r="B1" s="2" t="inlineStr">
        <is>
          <t>Value</t>
        </is>
      </c>
      <c r="C1" s="2" t="inlineStr">
        <is>
          <t>Unit</t>
        </is>
      </c>
      <c r="D1" s="2" t="inlineStr">
        <is>
          <t>Meaning</t>
        </is>
      </c>
      <c r="E1" s="2" t="inlineStr">
        <is>
          <t>Can edit?</t>
        </is>
      </c>
    </row>
    <row r="2" ht="24" customHeight="1">
      <c r="A2" s="5" t="inlineStr">
        <is>
          <t>FX USD to EUR</t>
        </is>
      </c>
      <c r="B2" s="7" t="n">
        <v>0.92</v>
      </c>
      <c r="C2" s="5" t="inlineStr">
        <is>
          <t>EUR per USD</t>
        </is>
      </c>
      <c r="D2" s="5" t="inlineStr">
        <is>
          <t>Перевод долларовой подписки в модельную валюту EUR</t>
        </is>
      </c>
      <c r="E2" s="5" t="inlineStr">
        <is>
          <t>yes</t>
        </is>
      </c>
    </row>
    <row r="3" ht="24" customHeight="1">
      <c r="A3" s="5" t="inlineStr">
        <is>
          <t>Base subscription price</t>
        </is>
      </c>
      <c r="B3" s="7" t="n">
        <v>12.99</v>
      </c>
      <c r="C3" s="5" t="inlineStr">
        <is>
          <t>USD / month</t>
        </is>
      </c>
      <c r="D3" s="5" t="inlineStr">
        <is>
          <t>Базовая blended цена подписки</t>
        </is>
      </c>
      <c r="E3" s="5" t="inlineStr">
        <is>
          <t>yes</t>
        </is>
      </c>
    </row>
    <row r="4" ht="24" customHeight="1">
      <c r="A4" s="5" t="inlineStr">
        <is>
          <t>App/payment fee</t>
        </is>
      </c>
      <c r="B4" s="8" t="n">
        <v>0.15</v>
      </c>
      <c r="C4" s="5" t="inlineStr">
        <is>
          <t>% revenue</t>
        </is>
      </c>
      <c r="D4" s="5" t="inlineStr">
        <is>
          <t>Комиссия store/payment/revenue platform</t>
        </is>
      </c>
      <c r="E4" s="5" t="inlineStr">
        <is>
          <t>yes</t>
        </is>
      </c>
    </row>
    <row r="5" ht="24" customHeight="1">
      <c r="A5" s="5" t="inlineStr">
        <is>
          <t>Token revenue per payer</t>
        </is>
      </c>
      <c r="B5" s="7" t="n">
        <v>1.5</v>
      </c>
      <c r="C5" s="5" t="inlineStr">
        <is>
          <t>USD / payer / month</t>
        </is>
      </c>
      <c r="D5" s="5" t="inlineStr">
        <is>
          <t>Средний upside от premium tokens/video</t>
        </is>
      </c>
      <c r="E5" s="5" t="inlineStr">
        <is>
          <t>yes</t>
        </is>
      </c>
    </row>
    <row r="6" ht="24" customHeight="1">
      <c r="A6" s="5" t="inlineStr">
        <is>
          <t>Paid COGS per payer</t>
        </is>
      </c>
      <c r="B6" s="7" t="n">
        <v>3.2</v>
      </c>
      <c r="C6" s="5" t="inlineStr">
        <is>
          <t>EUR / payer / month</t>
        </is>
      </c>
      <c r="D6" s="5" t="inlineStr">
        <is>
          <t>AI/image/video COGS для платящего пользователя</t>
        </is>
      </c>
      <c r="E6" s="5" t="inlineStr">
        <is>
          <t>yes</t>
        </is>
      </c>
    </row>
    <row r="7" ht="24" customHeight="1">
      <c r="A7" s="5" t="inlineStr">
        <is>
          <t>Free COGS per free MAU</t>
        </is>
      </c>
      <c r="B7" s="7" t="n">
        <v>0.18</v>
      </c>
      <c r="C7" s="5" t="inlineStr">
        <is>
          <t>EUR / free MAU / month</t>
        </is>
      </c>
      <c r="D7" s="5" t="inlineStr">
        <is>
          <t>AI/image COGS free users с capped usage</t>
        </is>
      </c>
      <c r="E7" s="5" t="inlineStr">
        <is>
          <t>yes</t>
        </is>
      </c>
    </row>
    <row r="8" ht="24" customHeight="1">
      <c r="A8" s="5" t="inlineStr">
        <is>
          <t>Support cost per payer</t>
        </is>
      </c>
      <c r="B8" s="7" t="n">
        <v>0.6</v>
      </c>
      <c r="C8" s="5" t="inlineStr">
        <is>
          <t>EUR / payer / month</t>
        </is>
      </c>
      <c r="D8" s="5" t="inlineStr">
        <is>
          <t>Support/admin переменная часть</t>
        </is>
      </c>
      <c r="E8" s="5" t="inlineStr">
        <is>
          <t>yes</t>
        </is>
      </c>
    </row>
    <row r="9" ht="24" customHeight="1">
      <c r="A9" s="5" t="inlineStr">
        <is>
          <t>Opening cash</t>
        </is>
      </c>
      <c r="B9" s="9" t="n">
        <v>0</v>
      </c>
      <c r="C9" s="5" t="inlineStr">
        <is>
          <t>EUR</t>
        </is>
      </c>
      <c r="D9" s="5" t="inlineStr">
        <is>
          <t>Деньги на старте модели</t>
        </is>
      </c>
      <c r="E9" s="5" t="inlineStr">
        <is>
          <t>yes</t>
        </is>
      </c>
    </row>
    <row r="10" ht="24" customHeight="1">
      <c r="A10" s="5" t="inlineStr">
        <is>
          <t>Year 1 target runway</t>
        </is>
      </c>
      <c r="B10" s="9" t="n">
        <v>120000</v>
      </c>
      <c r="C10" s="5" t="inlineStr">
        <is>
          <t>EUR</t>
        </is>
      </c>
      <c r="D10" s="5" t="inlineStr">
        <is>
          <t>Ориентир бюджета первого года</t>
        </is>
      </c>
      <c r="E10" s="5" t="inlineStr">
        <is>
          <t>yes</t>
        </is>
      </c>
    </row>
    <row r="11" ht="24" customHeight="1">
      <c r="A11" s="5" t="inlineStr">
        <is>
          <t>Break-even target month</t>
        </is>
      </c>
      <c r="B11" s="7" t="n">
        <v>12</v>
      </c>
      <c r="C11" s="5" t="inlineStr">
        <is>
          <t>month</t>
        </is>
      </c>
      <c r="D11" s="5" t="inlineStr">
        <is>
          <t>Ожидаемый месяц проверки break-even</t>
        </is>
      </c>
      <c r="E11" s="5" t="inlineStr">
        <is>
          <t>yes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54" customWidth="1" min="2" max="2"/>
    <col width="64" customWidth="1" min="3" max="3"/>
  </cols>
  <sheetData>
    <row r="1" ht="32" customHeight="1">
      <c r="A1" s="2" t="inlineStr">
        <is>
          <t>Term</t>
        </is>
      </c>
      <c r="B1" s="2" t="inlineStr">
        <is>
          <t>Simple explanation</t>
        </is>
      </c>
      <c r="C1" s="2" t="inlineStr">
        <is>
          <t>Why it matters for AURA</t>
        </is>
      </c>
    </row>
    <row r="2" ht="24" customHeight="1">
      <c r="A2" s="5" t="inlineStr">
        <is>
          <t>MAU</t>
        </is>
      </c>
      <c r="B2" s="5" t="inlineStr">
        <is>
          <t>Активные пользователи за месяц</t>
        </is>
      </c>
      <c r="C2" s="5" t="inlineStr">
        <is>
          <t>Показывает реальный размер продукта, не просто скачивания</t>
        </is>
      </c>
    </row>
    <row r="3" ht="24" customHeight="1">
      <c r="A3" s="5" t="inlineStr">
        <is>
          <t>Paid conversion</t>
        </is>
      </c>
      <c r="B3" s="5" t="inlineStr">
        <is>
          <t>Какая доля MAU платит</t>
        </is>
      </c>
      <c r="C3" s="5" t="inlineStr">
        <is>
          <t>Главный рычаг выручки</t>
        </is>
      </c>
    </row>
    <row r="4" ht="24" customHeight="1">
      <c r="A4" s="5" t="inlineStr">
        <is>
          <t>Payers</t>
        </is>
      </c>
      <c r="B4" s="5" t="inlineStr">
        <is>
          <t>Количество платящих пользователей</t>
        </is>
      </c>
      <c r="C4" s="5" t="inlineStr">
        <is>
          <t>Основа подписочной выручки</t>
        </is>
      </c>
    </row>
    <row r="5" ht="24" customHeight="1">
      <c r="A5" s="5" t="inlineStr">
        <is>
          <t>COGS</t>
        </is>
      </c>
      <c r="B5" s="5" t="inlineStr">
        <is>
          <t>Переменные расходы на AI, картинки, видео, storage, ошибки генерации</t>
        </is>
      </c>
      <c r="C5" s="5" t="inlineStr">
        <is>
          <t>Если COGS высокий, видео съедает маржу</t>
        </is>
      </c>
    </row>
    <row r="6" ht="24" customHeight="1">
      <c r="A6" s="5" t="inlineStr">
        <is>
          <t>CAC</t>
        </is>
      </c>
      <c r="B6" s="5" t="inlineStr">
        <is>
          <t>Стоимость привлечения клиента</t>
        </is>
      </c>
      <c r="C6" s="5" t="inlineStr">
        <is>
          <t>Нельзя масштабировать, если CAC выше будущей прибыли</t>
        </is>
      </c>
    </row>
    <row r="7" ht="24" customHeight="1">
      <c r="A7" s="5" t="inlineStr">
        <is>
          <t>Burn</t>
        </is>
      </c>
      <c r="B7" s="5" t="inlineStr">
        <is>
          <t>Сколько денег сгорает в месяц</t>
        </is>
      </c>
      <c r="C7" s="5" t="inlineStr">
        <is>
          <t>Показывает, сколько runway нужно</t>
        </is>
      </c>
    </row>
    <row r="8" ht="24" customHeight="1">
      <c r="A8" s="5" t="inlineStr">
        <is>
          <t>Runway / cash need</t>
        </is>
      </c>
      <c r="B8" s="5" t="inlineStr">
        <is>
          <t>Сколько денег нужно, чтобы дожить до следующей проверки</t>
        </is>
      </c>
      <c r="C8" s="5" t="inlineStr">
        <is>
          <t>Помогает планировать раунды/бюджет</t>
        </is>
      </c>
    </row>
    <row r="9" ht="24" customHeight="1">
      <c r="A9" s="5" t="inlineStr">
        <is>
          <t>ARR run-rate</t>
        </is>
      </c>
      <c r="B9" s="5" t="inlineStr">
        <is>
          <t>Месячная выручка × 12</t>
        </is>
      </c>
      <c r="C9" s="5" t="inlineStr">
        <is>
          <t>Удобный ориентир масштаба бизнеса</t>
        </is>
      </c>
    </row>
    <row r="10" ht="24" customHeight="1">
      <c r="A10" s="5" t="inlineStr">
        <is>
          <t>Break-even</t>
        </is>
      </c>
      <c r="B10" s="5" t="inlineStr">
        <is>
          <t>Месяц, когда выручка покрывает расходы</t>
        </is>
      </c>
      <c r="C10" s="5" t="inlineStr">
        <is>
          <t>Показывает шанс стать cashflow-бизнесом</t>
        </is>
      </c>
    </row>
    <row r="11" ht="24" customHeight="1">
      <c r="A11" s="5" t="inlineStr">
        <is>
          <t>Cash-out</t>
        </is>
      </c>
      <c r="B11" s="5" t="inlineStr">
        <is>
          <t>Сценарий продажи/выхода или превращения в денежный бизнес</t>
        </is>
      </c>
      <c r="C11" s="5" t="inlineStr">
        <is>
          <t>Возможен только после доказанных retention, CAC, COGS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3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6" customWidth="1" min="2" max="2"/>
    <col width="12" customWidth="1" min="3" max="3"/>
    <col width="14" customWidth="1" min="4" max="4"/>
    <col width="12" customWidth="1" min="5" max="5"/>
    <col width="16" customWidth="1" min="6" max="6"/>
    <col width="13" customWidth="1" min="7" max="7"/>
    <col width="15" customWidth="1" min="8" max="8"/>
    <col width="14" customWidth="1" min="9" max="9"/>
    <col width="15" customWidth="1" min="10" max="10"/>
    <col width="12" customWidth="1" min="11" max="11"/>
    <col width="12" customWidth="1" min="12" max="12"/>
    <col width="14" customWidth="1" min="13" max="13"/>
    <col width="16" customWidth="1" min="14" max="14"/>
    <col width="12" customWidth="1" min="15" max="15"/>
    <col width="12" customWidth="1" min="16" max="16"/>
    <col width="14" customWidth="1" min="17" max="17"/>
    <col width="14" customWidth="1" min="18" max="18"/>
    <col width="17" customWidth="1" min="19" max="19"/>
    <col width="14" customWidth="1" min="20" max="20"/>
  </cols>
  <sheetData>
    <row r="1" ht="32" customHeight="1">
      <c r="A1" s="2" t="inlineStr">
        <is>
          <t>Month</t>
        </is>
      </c>
      <c r="B1" s="2" t="inlineStr">
        <is>
          <t>Phase</t>
        </is>
      </c>
      <c r="C1" s="2" t="inlineStr">
        <is>
          <t>MAU</t>
        </is>
      </c>
      <c r="D1" s="2" t="inlineStr">
        <is>
          <t>Paid conversion</t>
        </is>
      </c>
      <c r="E1" s="2" t="inlineStr">
        <is>
          <t>Payers</t>
        </is>
      </c>
      <c r="F1" s="2" t="inlineStr">
        <is>
          <t>Gross sub revenue</t>
        </is>
      </c>
      <c r="G1" s="2" t="inlineStr">
        <is>
          <t>Payment fee</t>
        </is>
      </c>
      <c r="H1" s="2" t="inlineStr">
        <is>
          <t>Net sub revenue</t>
        </is>
      </c>
      <c r="I1" s="2" t="inlineStr">
        <is>
          <t>Token revenue</t>
        </is>
      </c>
      <c r="J1" s="2" t="inlineStr">
        <is>
          <t>Total revenue</t>
        </is>
      </c>
      <c r="K1" s="2" t="inlineStr">
        <is>
          <t>Paid COGS</t>
        </is>
      </c>
      <c r="L1" s="2" t="inlineStr">
        <is>
          <t>Free COGS</t>
        </is>
      </c>
      <c r="M1" s="2" t="inlineStr">
        <is>
          <t>Support variable</t>
        </is>
      </c>
      <c r="N1" s="2" t="inlineStr">
        <is>
          <t>Product/dev/team</t>
        </is>
      </c>
      <c r="O1" s="2" t="inlineStr">
        <is>
          <t>Infra/tools</t>
        </is>
      </c>
      <c r="P1" s="2" t="inlineStr">
        <is>
          <t>Marketing</t>
        </is>
      </c>
      <c r="Q1" s="2" t="inlineStr">
        <is>
          <t>Total spend</t>
        </is>
      </c>
      <c r="R1" s="2" t="inlineStr">
        <is>
          <t>Net cashflow</t>
        </is>
      </c>
      <c r="S1" s="2" t="inlineStr">
        <is>
          <t>Cumulative cash need</t>
        </is>
      </c>
      <c r="T1" s="2" t="inlineStr">
        <is>
          <t>ARR run-rate</t>
        </is>
      </c>
    </row>
    <row r="2" ht="24" customHeight="1">
      <c r="A2" s="5" t="n">
        <v>1</v>
      </c>
      <c r="B2" s="5" t="inlineStr">
        <is>
          <t>Validation</t>
        </is>
      </c>
      <c r="C2" s="5" t="n">
        <v>100</v>
      </c>
      <c r="D2" s="10" t="n">
        <v>0</v>
      </c>
      <c r="E2" s="5">
        <f>C2*D2</f>
        <v/>
      </c>
      <c r="F2" s="6">
        <f>E2*Inputs!$B$3*Inputs!$B$2</f>
        <v/>
      </c>
      <c r="G2" s="6">
        <f>F2*Inputs!$B$4</f>
        <v/>
      </c>
      <c r="H2" s="6">
        <f>F2-G2</f>
        <v/>
      </c>
      <c r="I2" s="6">
        <f>E2*Inputs!$B$5*Inputs!$B$2</f>
        <v/>
      </c>
      <c r="J2" s="6">
        <f>H2+I2</f>
        <v/>
      </c>
      <c r="K2" s="6">
        <f>E2*Inputs!$B$6</f>
        <v/>
      </c>
      <c r="L2" s="6">
        <f>(C2-E2)*Inputs!$B$7</f>
        <v/>
      </c>
      <c r="M2" s="6">
        <f>E2*Inputs!$B$8</f>
        <v/>
      </c>
      <c r="N2" s="6" t="n">
        <v>6000</v>
      </c>
      <c r="O2" s="6" t="n">
        <v>500</v>
      </c>
      <c r="P2" s="6" t="n">
        <v>2000</v>
      </c>
      <c r="Q2" s="6">
        <f>K2+L2+M2+N2+O2+P2</f>
        <v/>
      </c>
      <c r="R2" s="6">
        <f>J2-Q2</f>
        <v/>
      </c>
      <c r="S2" s="6">
        <f>MAX(0,-SUM($R$2:R2)-Inputs!$B$9)</f>
        <v/>
      </c>
      <c r="T2" s="6">
        <f>J2*12</f>
        <v/>
      </c>
    </row>
    <row r="3" ht="24" customHeight="1">
      <c r="A3" s="5" t="n">
        <v>2</v>
      </c>
      <c r="B3" s="5" t="inlineStr">
        <is>
          <t>Validation</t>
        </is>
      </c>
      <c r="C3" s="5" t="n">
        <v>500</v>
      </c>
      <c r="D3" s="10" t="n">
        <v>0.02</v>
      </c>
      <c r="E3" s="5">
        <f>C3*D3</f>
        <v/>
      </c>
      <c r="F3" s="6">
        <f>E3*Inputs!$B$3*Inputs!$B$2</f>
        <v/>
      </c>
      <c r="G3" s="6">
        <f>F3*Inputs!$B$4</f>
        <v/>
      </c>
      <c r="H3" s="6">
        <f>F3-G3</f>
        <v/>
      </c>
      <c r="I3" s="6">
        <f>E3*Inputs!$B$5*Inputs!$B$2</f>
        <v/>
      </c>
      <c r="J3" s="6">
        <f>H3+I3</f>
        <v/>
      </c>
      <c r="K3" s="6">
        <f>E3*Inputs!$B$6</f>
        <v/>
      </c>
      <c r="L3" s="6">
        <f>(C3-E3)*Inputs!$B$7</f>
        <v/>
      </c>
      <c r="M3" s="6">
        <f>E3*Inputs!$B$8</f>
        <v/>
      </c>
      <c r="N3" s="6" t="n">
        <v>7000</v>
      </c>
      <c r="O3" s="6" t="n">
        <v>700</v>
      </c>
      <c r="P3" s="6" t="n">
        <v>3000</v>
      </c>
      <c r="Q3" s="6">
        <f>K3+L3+M3+N3+O3+P3</f>
        <v/>
      </c>
      <c r="R3" s="6">
        <f>J3-Q3</f>
        <v/>
      </c>
      <c r="S3" s="6">
        <f>MAX(0,-SUM($R$2:R3)-Inputs!$B$9)</f>
        <v/>
      </c>
      <c r="T3" s="6">
        <f>J3*12</f>
        <v/>
      </c>
    </row>
    <row r="4" ht="24" customHeight="1">
      <c r="A4" s="5" t="n">
        <v>3</v>
      </c>
      <c r="B4" s="5" t="inlineStr">
        <is>
          <t>MVP build</t>
        </is>
      </c>
      <c r="C4" s="5" t="n">
        <v>1000</v>
      </c>
      <c r="D4" s="10" t="n">
        <v>0.03</v>
      </c>
      <c r="E4" s="5">
        <f>C4*D4</f>
        <v/>
      </c>
      <c r="F4" s="6">
        <f>E4*Inputs!$B$3*Inputs!$B$2</f>
        <v/>
      </c>
      <c r="G4" s="6">
        <f>F4*Inputs!$B$4</f>
        <v/>
      </c>
      <c r="H4" s="6">
        <f>F4-G4</f>
        <v/>
      </c>
      <c r="I4" s="6">
        <f>E4*Inputs!$B$5*Inputs!$B$2</f>
        <v/>
      </c>
      <c r="J4" s="6">
        <f>H4+I4</f>
        <v/>
      </c>
      <c r="K4" s="6">
        <f>E4*Inputs!$B$6</f>
        <v/>
      </c>
      <c r="L4" s="6">
        <f>(C4-E4)*Inputs!$B$7</f>
        <v/>
      </c>
      <c r="M4" s="6">
        <f>E4*Inputs!$B$8</f>
        <v/>
      </c>
      <c r="N4" s="6" t="n">
        <v>12000</v>
      </c>
      <c r="O4" s="6" t="n">
        <v>1000</v>
      </c>
      <c r="P4" s="6" t="n">
        <v>4000</v>
      </c>
      <c r="Q4" s="6">
        <f>K4+L4+M4+N4+O4+P4</f>
        <v/>
      </c>
      <c r="R4" s="6">
        <f>J4-Q4</f>
        <v/>
      </c>
      <c r="S4" s="6">
        <f>MAX(0,-SUM($R$2:R4)-Inputs!$B$9)</f>
        <v/>
      </c>
      <c r="T4" s="6">
        <f>J4*12</f>
        <v/>
      </c>
    </row>
    <row r="5" ht="24" customHeight="1">
      <c r="A5" s="5" t="n">
        <v>4</v>
      </c>
      <c r="B5" s="5" t="inlineStr">
        <is>
          <t>MVP build</t>
        </is>
      </c>
      <c r="C5" s="5" t="n">
        <v>3000</v>
      </c>
      <c r="D5" s="10" t="n">
        <v>0.027</v>
      </c>
      <c r="E5" s="5">
        <f>C5*D5</f>
        <v/>
      </c>
      <c r="F5" s="6">
        <f>E5*Inputs!$B$3*Inputs!$B$2</f>
        <v/>
      </c>
      <c r="G5" s="6">
        <f>F5*Inputs!$B$4</f>
        <v/>
      </c>
      <c r="H5" s="6">
        <f>F5-G5</f>
        <v/>
      </c>
      <c r="I5" s="6">
        <f>E5*Inputs!$B$5*Inputs!$B$2</f>
        <v/>
      </c>
      <c r="J5" s="6">
        <f>H5+I5</f>
        <v/>
      </c>
      <c r="K5" s="6">
        <f>E5*Inputs!$B$6</f>
        <v/>
      </c>
      <c r="L5" s="6">
        <f>(C5-E5)*Inputs!$B$7</f>
        <v/>
      </c>
      <c r="M5" s="6">
        <f>E5*Inputs!$B$8</f>
        <v/>
      </c>
      <c r="N5" s="6" t="n">
        <v>16000</v>
      </c>
      <c r="O5" s="6" t="n">
        <v>1500</v>
      </c>
      <c r="P5" s="6" t="n">
        <v>6000</v>
      </c>
      <c r="Q5" s="6">
        <f>K5+L5+M5+N5+O5+P5</f>
        <v/>
      </c>
      <c r="R5" s="6">
        <f>J5-Q5</f>
        <v/>
      </c>
      <c r="S5" s="6">
        <f>MAX(0,-SUM($R$2:R5)-Inputs!$B$9)</f>
        <v/>
      </c>
      <c r="T5" s="6">
        <f>J5*12</f>
        <v/>
      </c>
    </row>
    <row r="6" ht="24" customHeight="1">
      <c r="A6" s="5" t="n">
        <v>5</v>
      </c>
      <c r="B6" s="5" t="inlineStr">
        <is>
          <t>Private beta</t>
        </is>
      </c>
      <c r="C6" s="5" t="n">
        <v>6000</v>
      </c>
      <c r="D6" s="10" t="n">
        <v>0.025</v>
      </c>
      <c r="E6" s="5">
        <f>C6*D6</f>
        <v/>
      </c>
      <c r="F6" s="6">
        <f>E6*Inputs!$B$3*Inputs!$B$2</f>
        <v/>
      </c>
      <c r="G6" s="6">
        <f>F6*Inputs!$B$4</f>
        <v/>
      </c>
      <c r="H6" s="6">
        <f>F6-G6</f>
        <v/>
      </c>
      <c r="I6" s="6">
        <f>E6*Inputs!$B$5*Inputs!$B$2</f>
        <v/>
      </c>
      <c r="J6" s="6">
        <f>H6+I6</f>
        <v/>
      </c>
      <c r="K6" s="6">
        <f>E6*Inputs!$B$6</f>
        <v/>
      </c>
      <c r="L6" s="6">
        <f>(C6-E6)*Inputs!$B$7</f>
        <v/>
      </c>
      <c r="M6" s="6">
        <f>E6*Inputs!$B$8</f>
        <v/>
      </c>
      <c r="N6" s="6" t="n">
        <v>20000</v>
      </c>
      <c r="O6" s="6" t="n">
        <v>2200</v>
      </c>
      <c r="P6" s="6" t="n">
        <v>9000</v>
      </c>
      <c r="Q6" s="6">
        <f>K6+L6+M6+N6+O6+P6</f>
        <v/>
      </c>
      <c r="R6" s="6">
        <f>J6-Q6</f>
        <v/>
      </c>
      <c r="S6" s="6">
        <f>MAX(0,-SUM($R$2:R6)-Inputs!$B$9)</f>
        <v/>
      </c>
      <c r="T6" s="6">
        <f>J6*12</f>
        <v/>
      </c>
    </row>
    <row r="7" ht="24" customHeight="1">
      <c r="A7" s="5" t="n">
        <v>6</v>
      </c>
      <c r="B7" s="5" t="inlineStr">
        <is>
          <t>Private beta</t>
        </is>
      </c>
      <c r="C7" s="5" t="n">
        <v>10000</v>
      </c>
      <c r="D7" s="10" t="n">
        <v>0.03</v>
      </c>
      <c r="E7" s="5">
        <f>C7*D7</f>
        <v/>
      </c>
      <c r="F7" s="6">
        <f>E7*Inputs!$B$3*Inputs!$B$2</f>
        <v/>
      </c>
      <c r="G7" s="6">
        <f>F7*Inputs!$B$4</f>
        <v/>
      </c>
      <c r="H7" s="6">
        <f>F7-G7</f>
        <v/>
      </c>
      <c r="I7" s="6">
        <f>E7*Inputs!$B$5*Inputs!$B$2</f>
        <v/>
      </c>
      <c r="J7" s="6">
        <f>H7+I7</f>
        <v/>
      </c>
      <c r="K7" s="6">
        <f>E7*Inputs!$B$6</f>
        <v/>
      </c>
      <c r="L7" s="6">
        <f>(C7-E7)*Inputs!$B$7</f>
        <v/>
      </c>
      <c r="M7" s="6">
        <f>E7*Inputs!$B$8</f>
        <v/>
      </c>
      <c r="N7" s="6" t="n">
        <v>24000</v>
      </c>
      <c r="O7" s="6" t="n">
        <v>3000</v>
      </c>
      <c r="P7" s="6" t="n">
        <v>12000</v>
      </c>
      <c r="Q7" s="6">
        <f>K7+L7+M7+N7+O7+P7</f>
        <v/>
      </c>
      <c r="R7" s="6">
        <f>J7-Q7</f>
        <v/>
      </c>
      <c r="S7" s="6">
        <f>MAX(0,-SUM($R$2:R7)-Inputs!$B$9)</f>
        <v/>
      </c>
      <c r="T7" s="6">
        <f>J7*12</f>
        <v/>
      </c>
    </row>
    <row r="8" ht="24" customHeight="1">
      <c r="A8" s="5" t="n">
        <v>7</v>
      </c>
      <c r="B8" s="5" t="inlineStr">
        <is>
          <t>Public beta</t>
        </is>
      </c>
      <c r="C8" s="5" t="n">
        <v>15000</v>
      </c>
      <c r="D8" s="10" t="n">
        <v>0.03</v>
      </c>
      <c r="E8" s="5">
        <f>C8*D8</f>
        <v/>
      </c>
      <c r="F8" s="6">
        <f>E8*Inputs!$B$3*Inputs!$B$2</f>
        <v/>
      </c>
      <c r="G8" s="6">
        <f>F8*Inputs!$B$4</f>
        <v/>
      </c>
      <c r="H8" s="6">
        <f>F8-G8</f>
        <v/>
      </c>
      <c r="I8" s="6">
        <f>E8*Inputs!$B$5*Inputs!$B$2</f>
        <v/>
      </c>
      <c r="J8" s="6">
        <f>H8+I8</f>
        <v/>
      </c>
      <c r="K8" s="6">
        <f>E8*Inputs!$B$6</f>
        <v/>
      </c>
      <c r="L8" s="6">
        <f>(C8-E8)*Inputs!$B$7</f>
        <v/>
      </c>
      <c r="M8" s="6">
        <f>E8*Inputs!$B$8</f>
        <v/>
      </c>
      <c r="N8" s="6" t="n">
        <v>26000</v>
      </c>
      <c r="O8" s="6" t="n">
        <v>3500</v>
      </c>
      <c r="P8" s="6" t="n">
        <v>16000</v>
      </c>
      <c r="Q8" s="6">
        <f>K8+L8+M8+N8+O8+P8</f>
        <v/>
      </c>
      <c r="R8" s="6">
        <f>J8-Q8</f>
        <v/>
      </c>
      <c r="S8" s="6">
        <f>MAX(0,-SUM($R$2:R8)-Inputs!$B$9)</f>
        <v/>
      </c>
      <c r="T8" s="6">
        <f>J8*12</f>
        <v/>
      </c>
    </row>
    <row r="9" ht="24" customHeight="1">
      <c r="A9" s="5" t="n">
        <v>8</v>
      </c>
      <c r="B9" s="5" t="inlineStr">
        <is>
          <t>Public beta</t>
        </is>
      </c>
      <c r="C9" s="5" t="n">
        <v>25000</v>
      </c>
      <c r="D9" s="10" t="n">
        <v>0.03</v>
      </c>
      <c r="E9" s="5">
        <f>C9*D9</f>
        <v/>
      </c>
      <c r="F9" s="6">
        <f>E9*Inputs!$B$3*Inputs!$B$2</f>
        <v/>
      </c>
      <c r="G9" s="6">
        <f>F9*Inputs!$B$4</f>
        <v/>
      </c>
      <c r="H9" s="6">
        <f>F9-G9</f>
        <v/>
      </c>
      <c r="I9" s="6">
        <f>E9*Inputs!$B$5*Inputs!$B$2</f>
        <v/>
      </c>
      <c r="J9" s="6">
        <f>H9+I9</f>
        <v/>
      </c>
      <c r="K9" s="6">
        <f>E9*Inputs!$B$6</f>
        <v/>
      </c>
      <c r="L9" s="6">
        <f>(C9-E9)*Inputs!$B$7</f>
        <v/>
      </c>
      <c r="M9" s="6">
        <f>E9*Inputs!$B$8</f>
        <v/>
      </c>
      <c r="N9" s="6" t="n">
        <v>30000</v>
      </c>
      <c r="O9" s="6" t="n">
        <v>4500</v>
      </c>
      <c r="P9" s="6" t="n">
        <v>22000</v>
      </c>
      <c r="Q9" s="6">
        <f>K9+L9+M9+N9+O9+P9</f>
        <v/>
      </c>
      <c r="R9" s="6">
        <f>J9-Q9</f>
        <v/>
      </c>
      <c r="S9" s="6">
        <f>MAX(0,-SUM($R$2:R9)-Inputs!$B$9)</f>
        <v/>
      </c>
      <c r="T9" s="6">
        <f>J9*12</f>
        <v/>
      </c>
    </row>
    <row r="10" ht="24" customHeight="1">
      <c r="A10" s="5" t="n">
        <v>9</v>
      </c>
      <c r="B10" s="5" t="inlineStr">
        <is>
          <t>Public beta</t>
        </is>
      </c>
      <c r="C10" s="5" t="n">
        <v>40000</v>
      </c>
      <c r="D10" s="10" t="n">
        <v>0.03</v>
      </c>
      <c r="E10" s="5">
        <f>C10*D10</f>
        <v/>
      </c>
      <c r="F10" s="6">
        <f>E10*Inputs!$B$3*Inputs!$B$2</f>
        <v/>
      </c>
      <c r="G10" s="6">
        <f>F10*Inputs!$B$4</f>
        <v/>
      </c>
      <c r="H10" s="6">
        <f>F10-G10</f>
        <v/>
      </c>
      <c r="I10" s="6">
        <f>E10*Inputs!$B$5*Inputs!$B$2</f>
        <v/>
      </c>
      <c r="J10" s="6">
        <f>H10+I10</f>
        <v/>
      </c>
      <c r="K10" s="6">
        <f>E10*Inputs!$B$6</f>
        <v/>
      </c>
      <c r="L10" s="6">
        <f>(C10-E10)*Inputs!$B$7</f>
        <v/>
      </c>
      <c r="M10" s="6">
        <f>E10*Inputs!$B$8</f>
        <v/>
      </c>
      <c r="N10" s="6" t="n">
        <v>33000</v>
      </c>
      <c r="O10" s="6" t="n">
        <v>5500</v>
      </c>
      <c r="P10" s="6" t="n">
        <v>30000</v>
      </c>
      <c r="Q10" s="6">
        <f>K10+L10+M10+N10+O10+P10</f>
        <v/>
      </c>
      <c r="R10" s="6">
        <f>J10-Q10</f>
        <v/>
      </c>
      <c r="S10" s="6">
        <f>MAX(0,-SUM($R$2:R10)-Inputs!$B$9)</f>
        <v/>
      </c>
      <c r="T10" s="6">
        <f>J10*12</f>
        <v/>
      </c>
    </row>
    <row r="11" ht="24" customHeight="1">
      <c r="A11" s="5" t="n">
        <v>10</v>
      </c>
      <c r="B11" s="5" t="inlineStr">
        <is>
          <t>Launch</t>
        </is>
      </c>
      <c r="C11" s="5" t="n">
        <v>60000</v>
      </c>
      <c r="D11" s="10" t="n">
        <v>0.03</v>
      </c>
      <c r="E11" s="5">
        <f>C11*D11</f>
        <v/>
      </c>
      <c r="F11" s="6">
        <f>E11*Inputs!$B$3*Inputs!$B$2</f>
        <v/>
      </c>
      <c r="G11" s="6">
        <f>F11*Inputs!$B$4</f>
        <v/>
      </c>
      <c r="H11" s="6">
        <f>F11-G11</f>
        <v/>
      </c>
      <c r="I11" s="6">
        <f>E11*Inputs!$B$5*Inputs!$B$2</f>
        <v/>
      </c>
      <c r="J11" s="6">
        <f>H11+I11</f>
        <v/>
      </c>
      <c r="K11" s="6">
        <f>E11*Inputs!$B$6</f>
        <v/>
      </c>
      <c r="L11" s="6">
        <f>(C11-E11)*Inputs!$B$7</f>
        <v/>
      </c>
      <c r="M11" s="6">
        <f>E11*Inputs!$B$8</f>
        <v/>
      </c>
      <c r="N11" s="6" t="n">
        <v>38000</v>
      </c>
      <c r="O11" s="6" t="n">
        <v>7000</v>
      </c>
      <c r="P11" s="6" t="n">
        <v>40000</v>
      </c>
      <c r="Q11" s="6">
        <f>K11+L11+M11+N11+O11+P11</f>
        <v/>
      </c>
      <c r="R11" s="6">
        <f>J11-Q11</f>
        <v/>
      </c>
      <c r="S11" s="6">
        <f>MAX(0,-SUM($R$2:R11)-Inputs!$B$9)</f>
        <v/>
      </c>
      <c r="T11" s="6">
        <f>J11*12</f>
        <v/>
      </c>
    </row>
    <row r="12" ht="24" customHeight="1">
      <c r="A12" s="5" t="n">
        <v>11</v>
      </c>
      <c r="B12" s="5" t="inlineStr">
        <is>
          <t>Launch</t>
        </is>
      </c>
      <c r="C12" s="5" t="n">
        <v>90000</v>
      </c>
      <c r="D12" s="10" t="n">
        <v>0.033</v>
      </c>
      <c r="E12" s="5">
        <f>C12*D12</f>
        <v/>
      </c>
      <c r="F12" s="6">
        <f>E12*Inputs!$B$3*Inputs!$B$2</f>
        <v/>
      </c>
      <c r="G12" s="6">
        <f>F12*Inputs!$B$4</f>
        <v/>
      </c>
      <c r="H12" s="6">
        <f>F12-G12</f>
        <v/>
      </c>
      <c r="I12" s="6">
        <f>E12*Inputs!$B$5*Inputs!$B$2</f>
        <v/>
      </c>
      <c r="J12" s="6">
        <f>H12+I12</f>
        <v/>
      </c>
      <c r="K12" s="6">
        <f>E12*Inputs!$B$6</f>
        <v/>
      </c>
      <c r="L12" s="6">
        <f>(C12-E12)*Inputs!$B$7</f>
        <v/>
      </c>
      <c r="M12" s="6">
        <f>E12*Inputs!$B$8</f>
        <v/>
      </c>
      <c r="N12" s="6" t="n">
        <v>42000</v>
      </c>
      <c r="O12" s="6" t="n">
        <v>8500</v>
      </c>
      <c r="P12" s="6" t="n">
        <v>50000</v>
      </c>
      <c r="Q12" s="6">
        <f>K12+L12+M12+N12+O12+P12</f>
        <v/>
      </c>
      <c r="R12" s="6">
        <f>J12-Q12</f>
        <v/>
      </c>
      <c r="S12" s="6">
        <f>MAX(0,-SUM($R$2:R12)-Inputs!$B$9)</f>
        <v/>
      </c>
      <c r="T12" s="6">
        <f>J12*12</f>
        <v/>
      </c>
    </row>
    <row r="13" ht="24" customHeight="1">
      <c r="A13" s="5" t="n">
        <v>12</v>
      </c>
      <c r="B13" s="5" t="inlineStr">
        <is>
          <t>Launch</t>
        </is>
      </c>
      <c r="C13" s="5" t="n">
        <v>150000</v>
      </c>
      <c r="D13" s="10" t="n">
        <v>0.045</v>
      </c>
      <c r="E13" s="5">
        <f>C13*D13</f>
        <v/>
      </c>
      <c r="F13" s="6">
        <f>E13*Inputs!$B$3*Inputs!$B$2</f>
        <v/>
      </c>
      <c r="G13" s="6">
        <f>F13*Inputs!$B$4</f>
        <v/>
      </c>
      <c r="H13" s="6">
        <f>F13-G13</f>
        <v/>
      </c>
      <c r="I13" s="6">
        <f>E13*Inputs!$B$5*Inputs!$B$2</f>
        <v/>
      </c>
      <c r="J13" s="6">
        <f>H13+I13</f>
        <v/>
      </c>
      <c r="K13" s="6">
        <f>E13*Inputs!$B$6</f>
        <v/>
      </c>
      <c r="L13" s="6">
        <f>(C13-E13)*Inputs!$B$7</f>
        <v/>
      </c>
      <c r="M13" s="6">
        <f>E13*Inputs!$B$8</f>
        <v/>
      </c>
      <c r="N13" s="6" t="n">
        <v>50000</v>
      </c>
      <c r="O13" s="6" t="n">
        <v>11000</v>
      </c>
      <c r="P13" s="6" t="n">
        <v>65000</v>
      </c>
      <c r="Q13" s="6">
        <f>K13+L13+M13+N13+O13+P13</f>
        <v/>
      </c>
      <c r="R13" s="6">
        <f>J13-Q13</f>
        <v/>
      </c>
      <c r="S13" s="6">
        <f>MAX(0,-SUM($R$2:R13)-Inputs!$B$9)</f>
        <v/>
      </c>
      <c r="T13" s="6">
        <f>J13*12</f>
        <v/>
      </c>
    </row>
    <row r="14" ht="24" customHeight="1">
      <c r="A14" s="5" t="n">
        <v>13</v>
      </c>
      <c r="B14" s="5" t="inlineStr">
        <is>
          <t>Scale</t>
        </is>
      </c>
      <c r="C14" s="5" t="n">
        <v>180000</v>
      </c>
      <c r="D14" s="10" t="n">
        <v>0.045</v>
      </c>
      <c r="E14" s="5">
        <f>C14*D14</f>
        <v/>
      </c>
      <c r="F14" s="6">
        <f>E14*Inputs!$B$3*Inputs!$B$2</f>
        <v/>
      </c>
      <c r="G14" s="6">
        <f>F14*Inputs!$B$4</f>
        <v/>
      </c>
      <c r="H14" s="6">
        <f>F14-G14</f>
        <v/>
      </c>
      <c r="I14" s="6">
        <f>E14*Inputs!$B$5*Inputs!$B$2</f>
        <v/>
      </c>
      <c r="J14" s="6">
        <f>H14+I14</f>
        <v/>
      </c>
      <c r="K14" s="6">
        <f>E14*Inputs!$B$6</f>
        <v/>
      </c>
      <c r="L14" s="6">
        <f>(C14-E14)*Inputs!$B$7</f>
        <v/>
      </c>
      <c r="M14" s="6">
        <f>E14*Inputs!$B$8</f>
        <v/>
      </c>
      <c r="N14" s="6" t="n">
        <v>55000</v>
      </c>
      <c r="O14" s="6" t="n">
        <v>13000</v>
      </c>
      <c r="P14" s="6" t="n">
        <v>80000</v>
      </c>
      <c r="Q14" s="6">
        <f>K14+L14+M14+N14+O14+P14</f>
        <v/>
      </c>
      <c r="R14" s="6">
        <f>J14-Q14</f>
        <v/>
      </c>
      <c r="S14" s="6">
        <f>MAX(0,-SUM($R$2:R14)-Inputs!$B$9)</f>
        <v/>
      </c>
      <c r="T14" s="6">
        <f>J14*12</f>
        <v/>
      </c>
    </row>
    <row r="15" ht="24" customHeight="1">
      <c r="A15" s="5" t="n">
        <v>14</v>
      </c>
      <c r="B15" s="5" t="inlineStr">
        <is>
          <t>Scale</t>
        </is>
      </c>
      <c r="C15" s="5" t="n">
        <v>220000</v>
      </c>
      <c r="D15" s="10" t="n">
        <v>0.046</v>
      </c>
      <c r="E15" s="5">
        <f>C15*D15</f>
        <v/>
      </c>
      <c r="F15" s="6">
        <f>E15*Inputs!$B$3*Inputs!$B$2</f>
        <v/>
      </c>
      <c r="G15" s="6">
        <f>F15*Inputs!$B$4</f>
        <v/>
      </c>
      <c r="H15" s="6">
        <f>F15-G15</f>
        <v/>
      </c>
      <c r="I15" s="6">
        <f>E15*Inputs!$B$5*Inputs!$B$2</f>
        <v/>
      </c>
      <c r="J15" s="6">
        <f>H15+I15</f>
        <v/>
      </c>
      <c r="K15" s="6">
        <f>E15*Inputs!$B$6</f>
        <v/>
      </c>
      <c r="L15" s="6">
        <f>(C15-E15)*Inputs!$B$7</f>
        <v/>
      </c>
      <c r="M15" s="6">
        <f>E15*Inputs!$B$8</f>
        <v/>
      </c>
      <c r="N15" s="6" t="n">
        <v>60000</v>
      </c>
      <c r="O15" s="6" t="n">
        <v>15000</v>
      </c>
      <c r="P15" s="6" t="n">
        <v>95000</v>
      </c>
      <c r="Q15" s="6">
        <f>K15+L15+M15+N15+O15+P15</f>
        <v/>
      </c>
      <c r="R15" s="6">
        <f>J15-Q15</f>
        <v/>
      </c>
      <c r="S15" s="6">
        <f>MAX(0,-SUM($R$2:R15)-Inputs!$B$9)</f>
        <v/>
      </c>
      <c r="T15" s="6">
        <f>J15*12</f>
        <v/>
      </c>
    </row>
    <row r="16" ht="24" customHeight="1">
      <c r="A16" s="5" t="n">
        <v>15</v>
      </c>
      <c r="B16" s="5" t="inlineStr">
        <is>
          <t>Scale</t>
        </is>
      </c>
      <c r="C16" s="5" t="n">
        <v>270000</v>
      </c>
      <c r="D16" s="10" t="n">
        <v>0.047</v>
      </c>
      <c r="E16" s="5">
        <f>C16*D16</f>
        <v/>
      </c>
      <c r="F16" s="6">
        <f>E16*Inputs!$B$3*Inputs!$B$2</f>
        <v/>
      </c>
      <c r="G16" s="6">
        <f>F16*Inputs!$B$4</f>
        <v/>
      </c>
      <c r="H16" s="6">
        <f>F16-G16</f>
        <v/>
      </c>
      <c r="I16" s="6">
        <f>E16*Inputs!$B$5*Inputs!$B$2</f>
        <v/>
      </c>
      <c r="J16" s="6">
        <f>H16+I16</f>
        <v/>
      </c>
      <c r="K16" s="6">
        <f>E16*Inputs!$B$6</f>
        <v/>
      </c>
      <c r="L16" s="6">
        <f>(C16-E16)*Inputs!$B$7</f>
        <v/>
      </c>
      <c r="M16" s="6">
        <f>E16*Inputs!$B$8</f>
        <v/>
      </c>
      <c r="N16" s="6" t="n">
        <v>65000</v>
      </c>
      <c r="O16" s="6" t="n">
        <v>18000</v>
      </c>
      <c r="P16" s="6" t="n">
        <v>110000</v>
      </c>
      <c r="Q16" s="6">
        <f>K16+L16+M16+N16+O16+P16</f>
        <v/>
      </c>
      <c r="R16" s="6">
        <f>J16-Q16</f>
        <v/>
      </c>
      <c r="S16" s="6">
        <f>MAX(0,-SUM($R$2:R16)-Inputs!$B$9)</f>
        <v/>
      </c>
      <c r="T16" s="6">
        <f>J16*12</f>
        <v/>
      </c>
    </row>
    <row r="17" ht="24" customHeight="1">
      <c r="A17" s="5" t="n">
        <v>16</v>
      </c>
      <c r="B17" s="5" t="inlineStr">
        <is>
          <t>Scale</t>
        </is>
      </c>
      <c r="C17" s="5" t="n">
        <v>330000</v>
      </c>
      <c r="D17" s="10" t="n">
        <v>0.048</v>
      </c>
      <c r="E17" s="5">
        <f>C17*D17</f>
        <v/>
      </c>
      <c r="F17" s="6">
        <f>E17*Inputs!$B$3*Inputs!$B$2</f>
        <v/>
      </c>
      <c r="G17" s="6">
        <f>F17*Inputs!$B$4</f>
        <v/>
      </c>
      <c r="H17" s="6">
        <f>F17-G17</f>
        <v/>
      </c>
      <c r="I17" s="6">
        <f>E17*Inputs!$B$5*Inputs!$B$2</f>
        <v/>
      </c>
      <c r="J17" s="6">
        <f>H17+I17</f>
        <v/>
      </c>
      <c r="K17" s="6">
        <f>E17*Inputs!$B$6</f>
        <v/>
      </c>
      <c r="L17" s="6">
        <f>(C17-E17)*Inputs!$B$7</f>
        <v/>
      </c>
      <c r="M17" s="6">
        <f>E17*Inputs!$B$8</f>
        <v/>
      </c>
      <c r="N17" s="6" t="n">
        <v>70000</v>
      </c>
      <c r="O17" s="6" t="n">
        <v>21000</v>
      </c>
      <c r="P17" s="6" t="n">
        <v>130000</v>
      </c>
      <c r="Q17" s="6">
        <f>K17+L17+M17+N17+O17+P17</f>
        <v/>
      </c>
      <c r="R17" s="6">
        <f>J17-Q17</f>
        <v/>
      </c>
      <c r="S17" s="6">
        <f>MAX(0,-SUM($R$2:R17)-Inputs!$B$9)</f>
        <v/>
      </c>
      <c r="T17" s="6">
        <f>J17*12</f>
        <v/>
      </c>
    </row>
    <row r="18" ht="24" customHeight="1">
      <c r="A18" s="5" t="n">
        <v>17</v>
      </c>
      <c r="B18" s="5" t="inlineStr">
        <is>
          <t>Scale</t>
        </is>
      </c>
      <c r="C18" s="5" t="n">
        <v>400000</v>
      </c>
      <c r="D18" s="10" t="n">
        <v>0.049</v>
      </c>
      <c r="E18" s="5">
        <f>C18*D18</f>
        <v/>
      </c>
      <c r="F18" s="6">
        <f>E18*Inputs!$B$3*Inputs!$B$2</f>
        <v/>
      </c>
      <c r="G18" s="6">
        <f>F18*Inputs!$B$4</f>
        <v/>
      </c>
      <c r="H18" s="6">
        <f>F18-G18</f>
        <v/>
      </c>
      <c r="I18" s="6">
        <f>E18*Inputs!$B$5*Inputs!$B$2</f>
        <v/>
      </c>
      <c r="J18" s="6">
        <f>H18+I18</f>
        <v/>
      </c>
      <c r="K18" s="6">
        <f>E18*Inputs!$B$6</f>
        <v/>
      </c>
      <c r="L18" s="6">
        <f>(C18-E18)*Inputs!$B$7</f>
        <v/>
      </c>
      <c r="M18" s="6">
        <f>E18*Inputs!$B$8</f>
        <v/>
      </c>
      <c r="N18" s="6" t="n">
        <v>75000</v>
      </c>
      <c r="O18" s="6" t="n">
        <v>24000</v>
      </c>
      <c r="P18" s="6" t="n">
        <v>150000</v>
      </c>
      <c r="Q18" s="6">
        <f>K18+L18+M18+N18+O18+P18</f>
        <v/>
      </c>
      <c r="R18" s="6">
        <f>J18-Q18</f>
        <v/>
      </c>
      <c r="S18" s="6">
        <f>MAX(0,-SUM($R$2:R18)-Inputs!$B$9)</f>
        <v/>
      </c>
      <c r="T18" s="6">
        <f>J18*12</f>
        <v/>
      </c>
    </row>
    <row r="19" ht="24" customHeight="1">
      <c r="A19" s="5" t="n">
        <v>18</v>
      </c>
      <c r="B19" s="5" t="inlineStr">
        <is>
          <t>Scale</t>
        </is>
      </c>
      <c r="C19" s="5" t="n">
        <v>500000</v>
      </c>
      <c r="D19" s="10" t="n">
        <v>0.05</v>
      </c>
      <c r="E19" s="5">
        <f>C19*D19</f>
        <v/>
      </c>
      <c r="F19" s="6">
        <f>E19*Inputs!$B$3*Inputs!$B$2</f>
        <v/>
      </c>
      <c r="G19" s="6">
        <f>F19*Inputs!$B$4</f>
        <v/>
      </c>
      <c r="H19" s="6">
        <f>F19-G19</f>
        <v/>
      </c>
      <c r="I19" s="6">
        <f>E19*Inputs!$B$5*Inputs!$B$2</f>
        <v/>
      </c>
      <c r="J19" s="6">
        <f>H19+I19</f>
        <v/>
      </c>
      <c r="K19" s="6">
        <f>E19*Inputs!$B$6</f>
        <v/>
      </c>
      <c r="L19" s="6">
        <f>(C19-E19)*Inputs!$B$7</f>
        <v/>
      </c>
      <c r="M19" s="6">
        <f>E19*Inputs!$B$8</f>
        <v/>
      </c>
      <c r="N19" s="6" t="n">
        <v>85000</v>
      </c>
      <c r="O19" s="6" t="n">
        <v>28000</v>
      </c>
      <c r="P19" s="6" t="n">
        <v>180000</v>
      </c>
      <c r="Q19" s="6">
        <f>K19+L19+M19+N19+O19+P19</f>
        <v/>
      </c>
      <c r="R19" s="6">
        <f>J19-Q19</f>
        <v/>
      </c>
      <c r="S19" s="6">
        <f>MAX(0,-SUM($R$2:R19)-Inputs!$B$9)</f>
        <v/>
      </c>
      <c r="T19" s="6">
        <f>J19*12</f>
        <v/>
      </c>
    </row>
    <row r="20" ht="24" customHeight="1">
      <c r="A20" s="5" t="n">
        <v>19</v>
      </c>
      <c r="B20" s="5" t="inlineStr">
        <is>
          <t>Scale</t>
        </is>
      </c>
      <c r="C20" s="5" t="n">
        <v>600000</v>
      </c>
      <c r="D20" s="10" t="n">
        <v>0.052</v>
      </c>
      <c r="E20" s="5">
        <f>C20*D20</f>
        <v/>
      </c>
      <c r="F20" s="6">
        <f>E20*Inputs!$B$3*Inputs!$B$2</f>
        <v/>
      </c>
      <c r="G20" s="6">
        <f>F20*Inputs!$B$4</f>
        <v/>
      </c>
      <c r="H20" s="6">
        <f>F20-G20</f>
        <v/>
      </c>
      <c r="I20" s="6">
        <f>E20*Inputs!$B$5*Inputs!$B$2</f>
        <v/>
      </c>
      <c r="J20" s="6">
        <f>H20+I20</f>
        <v/>
      </c>
      <c r="K20" s="6">
        <f>E20*Inputs!$B$6</f>
        <v/>
      </c>
      <c r="L20" s="6">
        <f>(C20-E20)*Inputs!$B$7</f>
        <v/>
      </c>
      <c r="M20" s="6">
        <f>E20*Inputs!$B$8</f>
        <v/>
      </c>
      <c r="N20" s="6" t="n">
        <v>95000</v>
      </c>
      <c r="O20" s="6" t="n">
        <v>33000</v>
      </c>
      <c r="P20" s="6" t="n">
        <v>210000</v>
      </c>
      <c r="Q20" s="6">
        <f>K20+L20+M20+N20+O20+P20</f>
        <v/>
      </c>
      <c r="R20" s="6">
        <f>J20-Q20</f>
        <v/>
      </c>
      <c r="S20" s="6">
        <f>MAX(0,-SUM($R$2:R20)-Inputs!$B$9)</f>
        <v/>
      </c>
      <c r="T20" s="6">
        <f>J20*12</f>
        <v/>
      </c>
    </row>
    <row r="21" ht="24" customHeight="1">
      <c r="A21" s="5" t="n">
        <v>20</v>
      </c>
      <c r="B21" s="5" t="inlineStr">
        <is>
          <t>Scale</t>
        </is>
      </c>
      <c r="C21" s="5" t="n">
        <v>720000</v>
      </c>
      <c r="D21" s="10" t="n">
        <v>0.054</v>
      </c>
      <c r="E21" s="5">
        <f>C21*D21</f>
        <v/>
      </c>
      <c r="F21" s="6">
        <f>E21*Inputs!$B$3*Inputs!$B$2</f>
        <v/>
      </c>
      <c r="G21" s="6">
        <f>F21*Inputs!$B$4</f>
        <v/>
      </c>
      <c r="H21" s="6">
        <f>F21-G21</f>
        <v/>
      </c>
      <c r="I21" s="6">
        <f>E21*Inputs!$B$5*Inputs!$B$2</f>
        <v/>
      </c>
      <c r="J21" s="6">
        <f>H21+I21</f>
        <v/>
      </c>
      <c r="K21" s="6">
        <f>E21*Inputs!$B$6</f>
        <v/>
      </c>
      <c r="L21" s="6">
        <f>(C21-E21)*Inputs!$B$7</f>
        <v/>
      </c>
      <c r="M21" s="6">
        <f>E21*Inputs!$B$8</f>
        <v/>
      </c>
      <c r="N21" s="6" t="n">
        <v>105000</v>
      </c>
      <c r="O21" s="6" t="n">
        <v>38000</v>
      </c>
      <c r="P21" s="6" t="n">
        <v>250000</v>
      </c>
      <c r="Q21" s="6">
        <f>K21+L21+M21+N21+O21+P21</f>
        <v/>
      </c>
      <c r="R21" s="6">
        <f>J21-Q21</f>
        <v/>
      </c>
      <c r="S21" s="6">
        <f>MAX(0,-SUM($R$2:R21)-Inputs!$B$9)</f>
        <v/>
      </c>
      <c r="T21" s="6">
        <f>J21*12</f>
        <v/>
      </c>
    </row>
    <row r="22" ht="24" customHeight="1">
      <c r="A22" s="5" t="n">
        <v>21</v>
      </c>
      <c r="B22" s="5" t="inlineStr">
        <is>
          <t>Scale</t>
        </is>
      </c>
      <c r="C22" s="5" t="n">
        <v>850000</v>
      </c>
      <c r="D22" s="10" t="n">
        <v>0.055</v>
      </c>
      <c r="E22" s="5">
        <f>C22*D22</f>
        <v/>
      </c>
      <c r="F22" s="6">
        <f>E22*Inputs!$B$3*Inputs!$B$2</f>
        <v/>
      </c>
      <c r="G22" s="6">
        <f>F22*Inputs!$B$4</f>
        <v/>
      </c>
      <c r="H22" s="6">
        <f>F22-G22</f>
        <v/>
      </c>
      <c r="I22" s="6">
        <f>E22*Inputs!$B$5*Inputs!$B$2</f>
        <v/>
      </c>
      <c r="J22" s="6">
        <f>H22+I22</f>
        <v/>
      </c>
      <c r="K22" s="6">
        <f>E22*Inputs!$B$6</f>
        <v/>
      </c>
      <c r="L22" s="6">
        <f>(C22-E22)*Inputs!$B$7</f>
        <v/>
      </c>
      <c r="M22" s="6">
        <f>E22*Inputs!$B$8</f>
        <v/>
      </c>
      <c r="N22" s="6" t="n">
        <v>115000</v>
      </c>
      <c r="O22" s="6" t="n">
        <v>44000</v>
      </c>
      <c r="P22" s="6" t="n">
        <v>300000</v>
      </c>
      <c r="Q22" s="6">
        <f>K22+L22+M22+N22+O22+P22</f>
        <v/>
      </c>
      <c r="R22" s="6">
        <f>J22-Q22</f>
        <v/>
      </c>
      <c r="S22" s="6">
        <f>MAX(0,-SUM($R$2:R22)-Inputs!$B$9)</f>
        <v/>
      </c>
      <c r="T22" s="6">
        <f>J22*12</f>
        <v/>
      </c>
    </row>
    <row r="23" ht="24" customHeight="1">
      <c r="A23" s="5" t="n">
        <v>22</v>
      </c>
      <c r="B23" s="5" t="inlineStr">
        <is>
          <t>Scale</t>
        </is>
      </c>
      <c r="C23" s="5" t="n">
        <v>1000000</v>
      </c>
      <c r="D23" s="10" t="n">
        <v>0.057</v>
      </c>
      <c r="E23" s="5">
        <f>C23*D23</f>
        <v/>
      </c>
      <c r="F23" s="6">
        <f>E23*Inputs!$B$3*Inputs!$B$2</f>
        <v/>
      </c>
      <c r="G23" s="6">
        <f>F23*Inputs!$B$4</f>
        <v/>
      </c>
      <c r="H23" s="6">
        <f>F23-G23</f>
        <v/>
      </c>
      <c r="I23" s="6">
        <f>E23*Inputs!$B$5*Inputs!$B$2</f>
        <v/>
      </c>
      <c r="J23" s="6">
        <f>H23+I23</f>
        <v/>
      </c>
      <c r="K23" s="6">
        <f>E23*Inputs!$B$6</f>
        <v/>
      </c>
      <c r="L23" s="6">
        <f>(C23-E23)*Inputs!$B$7</f>
        <v/>
      </c>
      <c r="M23" s="6">
        <f>E23*Inputs!$B$8</f>
        <v/>
      </c>
      <c r="N23" s="6" t="n">
        <v>130000</v>
      </c>
      <c r="O23" s="6" t="n">
        <v>52000</v>
      </c>
      <c r="P23" s="6" t="n">
        <v>360000</v>
      </c>
      <c r="Q23" s="6">
        <f>K23+L23+M23+N23+O23+P23</f>
        <v/>
      </c>
      <c r="R23" s="6">
        <f>J23-Q23</f>
        <v/>
      </c>
      <c r="S23" s="6">
        <f>MAX(0,-SUM($R$2:R23)-Inputs!$B$9)</f>
        <v/>
      </c>
      <c r="T23" s="6">
        <f>J23*12</f>
        <v/>
      </c>
    </row>
    <row r="24" ht="24" customHeight="1">
      <c r="A24" s="5" t="n">
        <v>23</v>
      </c>
      <c r="B24" s="5" t="inlineStr">
        <is>
          <t>Scale</t>
        </is>
      </c>
      <c r="C24" s="5" t="n">
        <v>1200000</v>
      </c>
      <c r="D24" s="10" t="n">
        <v>0.058</v>
      </c>
      <c r="E24" s="5">
        <f>C24*D24</f>
        <v/>
      </c>
      <c r="F24" s="6">
        <f>E24*Inputs!$B$3*Inputs!$B$2</f>
        <v/>
      </c>
      <c r="G24" s="6">
        <f>F24*Inputs!$B$4</f>
        <v/>
      </c>
      <c r="H24" s="6">
        <f>F24-G24</f>
        <v/>
      </c>
      <c r="I24" s="6">
        <f>E24*Inputs!$B$5*Inputs!$B$2</f>
        <v/>
      </c>
      <c r="J24" s="6">
        <f>H24+I24</f>
        <v/>
      </c>
      <c r="K24" s="6">
        <f>E24*Inputs!$B$6</f>
        <v/>
      </c>
      <c r="L24" s="6">
        <f>(C24-E24)*Inputs!$B$7</f>
        <v/>
      </c>
      <c r="M24" s="6">
        <f>E24*Inputs!$B$8</f>
        <v/>
      </c>
      <c r="N24" s="6" t="n">
        <v>145000</v>
      </c>
      <c r="O24" s="6" t="n">
        <v>60000</v>
      </c>
      <c r="P24" s="6" t="n">
        <v>430000</v>
      </c>
      <c r="Q24" s="6">
        <f>K24+L24+M24+N24+O24+P24</f>
        <v/>
      </c>
      <c r="R24" s="6">
        <f>J24-Q24</f>
        <v/>
      </c>
      <c r="S24" s="6">
        <f>MAX(0,-SUM($R$2:R24)-Inputs!$B$9)</f>
        <v/>
      </c>
      <c r="T24" s="6">
        <f>J24*12</f>
        <v/>
      </c>
    </row>
    <row r="25" ht="24" customHeight="1">
      <c r="A25" s="5" t="n">
        <v>24</v>
      </c>
      <c r="B25" s="5" t="inlineStr">
        <is>
          <t>Scale</t>
        </is>
      </c>
      <c r="C25" s="5" t="n">
        <v>1400000</v>
      </c>
      <c r="D25" s="10" t="n">
        <v>0.06</v>
      </c>
      <c r="E25" s="5">
        <f>C25*D25</f>
        <v/>
      </c>
      <c r="F25" s="6">
        <f>E25*Inputs!$B$3*Inputs!$B$2</f>
        <v/>
      </c>
      <c r="G25" s="6">
        <f>F25*Inputs!$B$4</f>
        <v/>
      </c>
      <c r="H25" s="6">
        <f>F25-G25</f>
        <v/>
      </c>
      <c r="I25" s="6">
        <f>E25*Inputs!$B$5*Inputs!$B$2</f>
        <v/>
      </c>
      <c r="J25" s="6">
        <f>H25+I25</f>
        <v/>
      </c>
      <c r="K25" s="6">
        <f>E25*Inputs!$B$6</f>
        <v/>
      </c>
      <c r="L25" s="6">
        <f>(C25-E25)*Inputs!$B$7</f>
        <v/>
      </c>
      <c r="M25" s="6">
        <f>E25*Inputs!$B$8</f>
        <v/>
      </c>
      <c r="N25" s="6" t="n">
        <v>160000</v>
      </c>
      <c r="O25" s="6" t="n">
        <v>70000</v>
      </c>
      <c r="P25" s="6" t="n">
        <v>500000</v>
      </c>
      <c r="Q25" s="6">
        <f>K25+L25+M25+N25+O25+P25</f>
        <v/>
      </c>
      <c r="R25" s="6">
        <f>J25-Q25</f>
        <v/>
      </c>
      <c r="S25" s="6">
        <f>MAX(0,-SUM($R$2:R25)-Inputs!$B$9)</f>
        <v/>
      </c>
      <c r="T25" s="6">
        <f>J25*12</f>
        <v/>
      </c>
    </row>
    <row r="26" ht="24" customHeight="1">
      <c r="A26" s="5" t="n">
        <v>25</v>
      </c>
      <c r="B26" s="5" t="inlineStr">
        <is>
          <t>Scale</t>
        </is>
      </c>
      <c r="C26" s="5" t="n">
        <v>1600000</v>
      </c>
      <c r="D26" s="10" t="n">
        <v>0.061</v>
      </c>
      <c r="E26" s="5">
        <f>C26*D26</f>
        <v/>
      </c>
      <c r="F26" s="6">
        <f>E26*Inputs!$B$3*Inputs!$B$2</f>
        <v/>
      </c>
      <c r="G26" s="6">
        <f>F26*Inputs!$B$4</f>
        <v/>
      </c>
      <c r="H26" s="6">
        <f>F26-G26</f>
        <v/>
      </c>
      <c r="I26" s="6">
        <f>E26*Inputs!$B$5*Inputs!$B$2</f>
        <v/>
      </c>
      <c r="J26" s="6">
        <f>H26+I26</f>
        <v/>
      </c>
      <c r="K26" s="6">
        <f>E26*Inputs!$B$6</f>
        <v/>
      </c>
      <c r="L26" s="6">
        <f>(C26-E26)*Inputs!$B$7</f>
        <v/>
      </c>
      <c r="M26" s="6">
        <f>E26*Inputs!$B$8</f>
        <v/>
      </c>
      <c r="N26" s="6" t="n">
        <v>175000</v>
      </c>
      <c r="O26" s="6" t="n">
        <v>80000</v>
      </c>
      <c r="P26" s="6" t="n">
        <v>580000</v>
      </c>
      <c r="Q26" s="6">
        <f>K26+L26+M26+N26+O26+P26</f>
        <v/>
      </c>
      <c r="R26" s="6">
        <f>J26-Q26</f>
        <v/>
      </c>
      <c r="S26" s="6">
        <f>MAX(0,-SUM($R$2:R26)-Inputs!$B$9)</f>
        <v/>
      </c>
      <c r="T26" s="6">
        <f>J26*12</f>
        <v/>
      </c>
    </row>
    <row r="27" ht="24" customHeight="1">
      <c r="A27" s="5" t="n">
        <v>26</v>
      </c>
      <c r="B27" s="5" t="inlineStr">
        <is>
          <t>Scale</t>
        </is>
      </c>
      <c r="C27" s="5" t="n">
        <v>1800000</v>
      </c>
      <c r="D27" s="10" t="n">
        <v>0.062</v>
      </c>
      <c r="E27" s="5">
        <f>C27*D27</f>
        <v/>
      </c>
      <c r="F27" s="6">
        <f>E27*Inputs!$B$3*Inputs!$B$2</f>
        <v/>
      </c>
      <c r="G27" s="6">
        <f>F27*Inputs!$B$4</f>
        <v/>
      </c>
      <c r="H27" s="6">
        <f>F27-G27</f>
        <v/>
      </c>
      <c r="I27" s="6">
        <f>E27*Inputs!$B$5*Inputs!$B$2</f>
        <v/>
      </c>
      <c r="J27" s="6">
        <f>H27+I27</f>
        <v/>
      </c>
      <c r="K27" s="6">
        <f>E27*Inputs!$B$6</f>
        <v/>
      </c>
      <c r="L27" s="6">
        <f>(C27-E27)*Inputs!$B$7</f>
        <v/>
      </c>
      <c r="M27" s="6">
        <f>E27*Inputs!$B$8</f>
        <v/>
      </c>
      <c r="N27" s="6" t="n">
        <v>190000</v>
      </c>
      <c r="O27" s="6" t="n">
        <v>90000</v>
      </c>
      <c r="P27" s="6" t="n">
        <v>670000</v>
      </c>
      <c r="Q27" s="6">
        <f>K27+L27+M27+N27+O27+P27</f>
        <v/>
      </c>
      <c r="R27" s="6">
        <f>J27-Q27</f>
        <v/>
      </c>
      <c r="S27" s="6">
        <f>MAX(0,-SUM($R$2:R27)-Inputs!$B$9)</f>
        <v/>
      </c>
      <c r="T27" s="6">
        <f>J27*12</f>
        <v/>
      </c>
    </row>
    <row r="28" ht="24" customHeight="1">
      <c r="A28" s="5" t="n">
        <v>27</v>
      </c>
      <c r="B28" s="5" t="inlineStr">
        <is>
          <t>Scale</t>
        </is>
      </c>
      <c r="C28" s="5" t="n">
        <v>2100000</v>
      </c>
      <c r="D28" s="10" t="n">
        <v>0.063</v>
      </c>
      <c r="E28" s="5">
        <f>C28*D28</f>
        <v/>
      </c>
      <c r="F28" s="6">
        <f>E28*Inputs!$B$3*Inputs!$B$2</f>
        <v/>
      </c>
      <c r="G28" s="6">
        <f>F28*Inputs!$B$4</f>
        <v/>
      </c>
      <c r="H28" s="6">
        <f>F28-G28</f>
        <v/>
      </c>
      <c r="I28" s="6">
        <f>E28*Inputs!$B$5*Inputs!$B$2</f>
        <v/>
      </c>
      <c r="J28" s="6">
        <f>H28+I28</f>
        <v/>
      </c>
      <c r="K28" s="6">
        <f>E28*Inputs!$B$6</f>
        <v/>
      </c>
      <c r="L28" s="6">
        <f>(C28-E28)*Inputs!$B$7</f>
        <v/>
      </c>
      <c r="M28" s="6">
        <f>E28*Inputs!$B$8</f>
        <v/>
      </c>
      <c r="N28" s="6" t="n">
        <v>210000</v>
      </c>
      <c r="O28" s="6" t="n">
        <v>105000</v>
      </c>
      <c r="P28" s="6" t="n">
        <v>780000</v>
      </c>
      <c r="Q28" s="6">
        <f>K28+L28+M28+N28+O28+P28</f>
        <v/>
      </c>
      <c r="R28" s="6">
        <f>J28-Q28</f>
        <v/>
      </c>
      <c r="S28" s="6">
        <f>MAX(0,-SUM($R$2:R28)-Inputs!$B$9)</f>
        <v/>
      </c>
      <c r="T28" s="6">
        <f>J28*12</f>
        <v/>
      </c>
    </row>
    <row r="29" ht="24" customHeight="1">
      <c r="A29" s="5" t="n">
        <v>28</v>
      </c>
      <c r="B29" s="5" t="inlineStr">
        <is>
          <t>Scale</t>
        </is>
      </c>
      <c r="C29" s="5" t="n">
        <v>2400000</v>
      </c>
      <c r="D29" s="10" t="n">
        <v>0.064</v>
      </c>
      <c r="E29" s="5">
        <f>C29*D29</f>
        <v/>
      </c>
      <c r="F29" s="6">
        <f>E29*Inputs!$B$3*Inputs!$B$2</f>
        <v/>
      </c>
      <c r="G29" s="6">
        <f>F29*Inputs!$B$4</f>
        <v/>
      </c>
      <c r="H29" s="6">
        <f>F29-G29</f>
        <v/>
      </c>
      <c r="I29" s="6">
        <f>E29*Inputs!$B$5*Inputs!$B$2</f>
        <v/>
      </c>
      <c r="J29" s="6">
        <f>H29+I29</f>
        <v/>
      </c>
      <c r="K29" s="6">
        <f>E29*Inputs!$B$6</f>
        <v/>
      </c>
      <c r="L29" s="6">
        <f>(C29-E29)*Inputs!$B$7</f>
        <v/>
      </c>
      <c r="M29" s="6">
        <f>E29*Inputs!$B$8</f>
        <v/>
      </c>
      <c r="N29" s="6" t="n">
        <v>230000</v>
      </c>
      <c r="O29" s="6" t="n">
        <v>120000</v>
      </c>
      <c r="P29" s="6" t="n">
        <v>900000</v>
      </c>
      <c r="Q29" s="6">
        <f>K29+L29+M29+N29+O29+P29</f>
        <v/>
      </c>
      <c r="R29" s="6">
        <f>J29-Q29</f>
        <v/>
      </c>
      <c r="S29" s="6">
        <f>MAX(0,-SUM($R$2:R29)-Inputs!$B$9)</f>
        <v/>
      </c>
      <c r="T29" s="6">
        <f>J29*12</f>
        <v/>
      </c>
    </row>
    <row r="30" ht="24" customHeight="1">
      <c r="A30" s="5" t="n">
        <v>29</v>
      </c>
      <c r="B30" s="5" t="inlineStr">
        <is>
          <t>Scale</t>
        </is>
      </c>
      <c r="C30" s="5" t="n">
        <v>2800000</v>
      </c>
      <c r="D30" s="10" t="n">
        <v>0.065</v>
      </c>
      <c r="E30" s="5">
        <f>C30*D30</f>
        <v/>
      </c>
      <c r="F30" s="6">
        <f>E30*Inputs!$B$3*Inputs!$B$2</f>
        <v/>
      </c>
      <c r="G30" s="6">
        <f>F30*Inputs!$B$4</f>
        <v/>
      </c>
      <c r="H30" s="6">
        <f>F30-G30</f>
        <v/>
      </c>
      <c r="I30" s="6">
        <f>E30*Inputs!$B$5*Inputs!$B$2</f>
        <v/>
      </c>
      <c r="J30" s="6">
        <f>H30+I30</f>
        <v/>
      </c>
      <c r="K30" s="6">
        <f>E30*Inputs!$B$6</f>
        <v/>
      </c>
      <c r="L30" s="6">
        <f>(C30-E30)*Inputs!$B$7</f>
        <v/>
      </c>
      <c r="M30" s="6">
        <f>E30*Inputs!$B$8</f>
        <v/>
      </c>
      <c r="N30" s="6" t="n">
        <v>250000</v>
      </c>
      <c r="O30" s="6" t="n">
        <v>140000</v>
      </c>
      <c r="P30" s="6" t="n">
        <v>1050000</v>
      </c>
      <c r="Q30" s="6">
        <f>K30+L30+M30+N30+O30+P30</f>
        <v/>
      </c>
      <c r="R30" s="6">
        <f>J30-Q30</f>
        <v/>
      </c>
      <c r="S30" s="6">
        <f>MAX(0,-SUM($R$2:R30)-Inputs!$B$9)</f>
        <v/>
      </c>
      <c r="T30" s="6">
        <f>J30*12</f>
        <v/>
      </c>
    </row>
    <row r="31" ht="24" customHeight="1">
      <c r="A31" s="5" t="n">
        <v>30</v>
      </c>
      <c r="B31" s="5" t="inlineStr">
        <is>
          <t>Scale</t>
        </is>
      </c>
      <c r="C31" s="5" t="n">
        <v>3200000</v>
      </c>
      <c r="D31" s="10" t="n">
        <v>0.066</v>
      </c>
      <c r="E31" s="5">
        <f>C31*D31</f>
        <v/>
      </c>
      <c r="F31" s="6">
        <f>E31*Inputs!$B$3*Inputs!$B$2</f>
        <v/>
      </c>
      <c r="G31" s="6">
        <f>F31*Inputs!$B$4</f>
        <v/>
      </c>
      <c r="H31" s="6">
        <f>F31-G31</f>
        <v/>
      </c>
      <c r="I31" s="6">
        <f>E31*Inputs!$B$5*Inputs!$B$2</f>
        <v/>
      </c>
      <c r="J31" s="6">
        <f>H31+I31</f>
        <v/>
      </c>
      <c r="K31" s="6">
        <f>E31*Inputs!$B$6</f>
        <v/>
      </c>
      <c r="L31" s="6">
        <f>(C31-E31)*Inputs!$B$7</f>
        <v/>
      </c>
      <c r="M31" s="6">
        <f>E31*Inputs!$B$8</f>
        <v/>
      </c>
      <c r="N31" s="6" t="n">
        <v>275000</v>
      </c>
      <c r="O31" s="6" t="n">
        <v>160000</v>
      </c>
      <c r="P31" s="6" t="n">
        <v>1200000</v>
      </c>
      <c r="Q31" s="6">
        <f>K31+L31+M31+N31+O31+P31</f>
        <v/>
      </c>
      <c r="R31" s="6">
        <f>J31-Q31</f>
        <v/>
      </c>
      <c r="S31" s="6">
        <f>MAX(0,-SUM($R$2:R31)-Inputs!$B$9)</f>
        <v/>
      </c>
      <c r="T31" s="6">
        <f>J31*12</f>
        <v/>
      </c>
    </row>
    <row r="32" ht="24" customHeight="1">
      <c r="A32" s="5" t="n">
        <v>31</v>
      </c>
      <c r="B32" s="5" t="inlineStr">
        <is>
          <t>Scale</t>
        </is>
      </c>
      <c r="C32" s="5" t="n">
        <v>3600000</v>
      </c>
      <c r="D32" s="10" t="n">
        <v>0.067</v>
      </c>
      <c r="E32" s="5">
        <f>C32*D32</f>
        <v/>
      </c>
      <c r="F32" s="6">
        <f>E32*Inputs!$B$3*Inputs!$B$2</f>
        <v/>
      </c>
      <c r="G32" s="6">
        <f>F32*Inputs!$B$4</f>
        <v/>
      </c>
      <c r="H32" s="6">
        <f>F32-G32</f>
        <v/>
      </c>
      <c r="I32" s="6">
        <f>E32*Inputs!$B$5*Inputs!$B$2</f>
        <v/>
      </c>
      <c r="J32" s="6">
        <f>H32+I32</f>
        <v/>
      </c>
      <c r="K32" s="6">
        <f>E32*Inputs!$B$6</f>
        <v/>
      </c>
      <c r="L32" s="6">
        <f>(C32-E32)*Inputs!$B$7</f>
        <v/>
      </c>
      <c r="M32" s="6">
        <f>E32*Inputs!$B$8</f>
        <v/>
      </c>
      <c r="N32" s="6" t="n">
        <v>300000</v>
      </c>
      <c r="O32" s="6" t="n">
        <v>180000</v>
      </c>
      <c r="P32" s="6" t="n">
        <v>1380000</v>
      </c>
      <c r="Q32" s="6">
        <f>K32+L32+M32+N32+O32+P32</f>
        <v/>
      </c>
      <c r="R32" s="6">
        <f>J32-Q32</f>
        <v/>
      </c>
      <c r="S32" s="6">
        <f>MAX(0,-SUM($R$2:R32)-Inputs!$B$9)</f>
        <v/>
      </c>
      <c r="T32" s="6">
        <f>J32*12</f>
        <v/>
      </c>
    </row>
    <row r="33" ht="24" customHeight="1">
      <c r="A33" s="5" t="n">
        <v>32</v>
      </c>
      <c r="B33" s="5" t="inlineStr">
        <is>
          <t>Scale</t>
        </is>
      </c>
      <c r="C33" s="5" t="n">
        <v>4000000</v>
      </c>
      <c r="D33" s="10" t="n">
        <v>0.068</v>
      </c>
      <c r="E33" s="5">
        <f>C33*D33</f>
        <v/>
      </c>
      <c r="F33" s="6">
        <f>E33*Inputs!$B$3*Inputs!$B$2</f>
        <v/>
      </c>
      <c r="G33" s="6">
        <f>F33*Inputs!$B$4</f>
        <v/>
      </c>
      <c r="H33" s="6">
        <f>F33-G33</f>
        <v/>
      </c>
      <c r="I33" s="6">
        <f>E33*Inputs!$B$5*Inputs!$B$2</f>
        <v/>
      </c>
      <c r="J33" s="6">
        <f>H33+I33</f>
        <v/>
      </c>
      <c r="K33" s="6">
        <f>E33*Inputs!$B$6</f>
        <v/>
      </c>
      <c r="L33" s="6">
        <f>(C33-E33)*Inputs!$B$7</f>
        <v/>
      </c>
      <c r="M33" s="6">
        <f>E33*Inputs!$B$8</f>
        <v/>
      </c>
      <c r="N33" s="6" t="n">
        <v>330000</v>
      </c>
      <c r="O33" s="6" t="n">
        <v>205000</v>
      </c>
      <c r="P33" s="6" t="n">
        <v>1580000</v>
      </c>
      <c r="Q33" s="6">
        <f>K33+L33+M33+N33+O33+P33</f>
        <v/>
      </c>
      <c r="R33" s="6">
        <f>J33-Q33</f>
        <v/>
      </c>
      <c r="S33" s="6">
        <f>MAX(0,-SUM($R$2:R33)-Inputs!$B$9)</f>
        <v/>
      </c>
      <c r="T33" s="6">
        <f>J33*12</f>
        <v/>
      </c>
    </row>
    <row r="34" ht="24" customHeight="1">
      <c r="A34" s="5" t="n">
        <v>33</v>
      </c>
      <c r="B34" s="5" t="inlineStr">
        <is>
          <t>Scale</t>
        </is>
      </c>
      <c r="C34" s="5" t="n">
        <v>4500000</v>
      </c>
      <c r="D34" s="10" t="n">
        <v>0.06900000000000001</v>
      </c>
      <c r="E34" s="5">
        <f>C34*D34</f>
        <v/>
      </c>
      <c r="F34" s="6">
        <f>E34*Inputs!$B$3*Inputs!$B$2</f>
        <v/>
      </c>
      <c r="G34" s="6">
        <f>F34*Inputs!$B$4</f>
        <v/>
      </c>
      <c r="H34" s="6">
        <f>F34-G34</f>
        <v/>
      </c>
      <c r="I34" s="6">
        <f>E34*Inputs!$B$5*Inputs!$B$2</f>
        <v/>
      </c>
      <c r="J34" s="6">
        <f>H34+I34</f>
        <v/>
      </c>
      <c r="K34" s="6">
        <f>E34*Inputs!$B$6</f>
        <v/>
      </c>
      <c r="L34" s="6">
        <f>(C34-E34)*Inputs!$B$7</f>
        <v/>
      </c>
      <c r="M34" s="6">
        <f>E34*Inputs!$B$8</f>
        <v/>
      </c>
      <c r="N34" s="6" t="n">
        <v>360000</v>
      </c>
      <c r="O34" s="6" t="n">
        <v>230000</v>
      </c>
      <c r="P34" s="6" t="n">
        <v>1800000</v>
      </c>
      <c r="Q34" s="6">
        <f>K34+L34+M34+N34+O34+P34</f>
        <v/>
      </c>
      <c r="R34" s="6">
        <f>J34-Q34</f>
        <v/>
      </c>
      <c r="S34" s="6">
        <f>MAX(0,-SUM($R$2:R34)-Inputs!$B$9)</f>
        <v/>
      </c>
      <c r="T34" s="6">
        <f>J34*12</f>
        <v/>
      </c>
    </row>
    <row r="35" ht="24" customHeight="1">
      <c r="A35" s="5" t="n">
        <v>34</v>
      </c>
      <c r="B35" s="5" t="inlineStr">
        <is>
          <t>Scale</t>
        </is>
      </c>
      <c r="C35" s="5" t="n">
        <v>5000000</v>
      </c>
      <c r="D35" s="10" t="n">
        <v>0.07000000000000001</v>
      </c>
      <c r="E35" s="5">
        <f>C35*D35</f>
        <v/>
      </c>
      <c r="F35" s="6">
        <f>E35*Inputs!$B$3*Inputs!$B$2</f>
        <v/>
      </c>
      <c r="G35" s="6">
        <f>F35*Inputs!$B$4</f>
        <v/>
      </c>
      <c r="H35" s="6">
        <f>F35-G35</f>
        <v/>
      </c>
      <c r="I35" s="6">
        <f>E35*Inputs!$B$5*Inputs!$B$2</f>
        <v/>
      </c>
      <c r="J35" s="6">
        <f>H35+I35</f>
        <v/>
      </c>
      <c r="K35" s="6">
        <f>E35*Inputs!$B$6</f>
        <v/>
      </c>
      <c r="L35" s="6">
        <f>(C35-E35)*Inputs!$B$7</f>
        <v/>
      </c>
      <c r="M35" s="6">
        <f>E35*Inputs!$B$8</f>
        <v/>
      </c>
      <c r="N35" s="6" t="n">
        <v>390000</v>
      </c>
      <c r="O35" s="6" t="n">
        <v>260000</v>
      </c>
      <c r="P35" s="6" t="n">
        <v>2050000</v>
      </c>
      <c r="Q35" s="6">
        <f>K35+L35+M35+N35+O35+P35</f>
        <v/>
      </c>
      <c r="R35" s="6">
        <f>J35-Q35</f>
        <v/>
      </c>
      <c r="S35" s="6">
        <f>MAX(0,-SUM($R$2:R35)-Inputs!$B$9)</f>
        <v/>
      </c>
      <c r="T35" s="6">
        <f>J35*12</f>
        <v/>
      </c>
    </row>
    <row r="36" ht="24" customHeight="1">
      <c r="A36" s="5" t="n">
        <v>35</v>
      </c>
      <c r="B36" s="5" t="inlineStr">
        <is>
          <t>Scale</t>
        </is>
      </c>
      <c r="C36" s="5" t="n">
        <v>5600000</v>
      </c>
      <c r="D36" s="10" t="n">
        <v>0.07099999999999999</v>
      </c>
      <c r="E36" s="5">
        <f>C36*D36</f>
        <v/>
      </c>
      <c r="F36" s="6">
        <f>E36*Inputs!$B$3*Inputs!$B$2</f>
        <v/>
      </c>
      <c r="G36" s="6">
        <f>F36*Inputs!$B$4</f>
        <v/>
      </c>
      <c r="H36" s="6">
        <f>F36-G36</f>
        <v/>
      </c>
      <c r="I36" s="6">
        <f>E36*Inputs!$B$5*Inputs!$B$2</f>
        <v/>
      </c>
      <c r="J36" s="6">
        <f>H36+I36</f>
        <v/>
      </c>
      <c r="K36" s="6">
        <f>E36*Inputs!$B$6</f>
        <v/>
      </c>
      <c r="L36" s="6">
        <f>(C36-E36)*Inputs!$B$7</f>
        <v/>
      </c>
      <c r="M36" s="6">
        <f>E36*Inputs!$B$8</f>
        <v/>
      </c>
      <c r="N36" s="6" t="n">
        <v>430000</v>
      </c>
      <c r="O36" s="6" t="n">
        <v>295000</v>
      </c>
      <c r="P36" s="6" t="n">
        <v>2350000</v>
      </c>
      <c r="Q36" s="6">
        <f>K36+L36+M36+N36+O36+P36</f>
        <v/>
      </c>
      <c r="R36" s="6">
        <f>J36-Q36</f>
        <v/>
      </c>
      <c r="S36" s="6">
        <f>MAX(0,-SUM($R$2:R36)-Inputs!$B$9)</f>
        <v/>
      </c>
      <c r="T36" s="6">
        <f>J36*12</f>
        <v/>
      </c>
    </row>
    <row r="37" ht="24" customHeight="1">
      <c r="A37" s="5" t="n">
        <v>36</v>
      </c>
      <c r="B37" s="5" t="inlineStr">
        <is>
          <t>Scale</t>
        </is>
      </c>
      <c r="C37" s="5" t="n">
        <v>6200000</v>
      </c>
      <c r="D37" s="10" t="n">
        <v>0.07199999999999999</v>
      </c>
      <c r="E37" s="5">
        <f>C37*D37</f>
        <v/>
      </c>
      <c r="F37" s="6">
        <f>E37*Inputs!$B$3*Inputs!$B$2</f>
        <v/>
      </c>
      <c r="G37" s="6">
        <f>F37*Inputs!$B$4</f>
        <v/>
      </c>
      <c r="H37" s="6">
        <f>F37-G37</f>
        <v/>
      </c>
      <c r="I37" s="6">
        <f>E37*Inputs!$B$5*Inputs!$B$2</f>
        <v/>
      </c>
      <c r="J37" s="6">
        <f>H37+I37</f>
        <v/>
      </c>
      <c r="K37" s="6">
        <f>E37*Inputs!$B$6</f>
        <v/>
      </c>
      <c r="L37" s="6">
        <f>(C37-E37)*Inputs!$B$7</f>
        <v/>
      </c>
      <c r="M37" s="6">
        <f>E37*Inputs!$B$8</f>
        <v/>
      </c>
      <c r="N37" s="6" t="n">
        <v>470000</v>
      </c>
      <c r="O37" s="6" t="n">
        <v>330000</v>
      </c>
      <c r="P37" s="6" t="n">
        <v>2700000</v>
      </c>
      <c r="Q37" s="6">
        <f>K37+L37+M37+N37+O37+P37</f>
        <v/>
      </c>
      <c r="R37" s="6">
        <f>J37-Q37</f>
        <v/>
      </c>
      <c r="S37" s="6">
        <f>MAX(0,-SUM($R$2:R37)-Inputs!$B$9)</f>
        <v/>
      </c>
      <c r="T37" s="6">
        <f>J37*12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6" customWidth="1" min="4" max="4"/>
    <col width="16" customWidth="1" min="5" max="5"/>
    <col width="16" customWidth="1" min="6" max="6"/>
    <col width="18" customWidth="1" min="7" max="7"/>
    <col width="16" customWidth="1" min="8" max="8"/>
  </cols>
  <sheetData>
    <row r="1" ht="32" customHeight="1">
      <c r="A1" s="2" t="inlineStr">
        <is>
          <t>Quarter</t>
        </is>
      </c>
      <c r="B1" s="2" t="inlineStr">
        <is>
          <t>Start month</t>
        </is>
      </c>
      <c r="C1" s="2" t="inlineStr">
        <is>
          <t>End month</t>
        </is>
      </c>
      <c r="D1" s="2" t="inlineStr">
        <is>
          <t>Revenue</t>
        </is>
      </c>
      <c r="E1" s="2" t="inlineStr">
        <is>
          <t>Spend</t>
        </is>
      </c>
      <c r="F1" s="2" t="inlineStr">
        <is>
          <t>Net cashflow</t>
        </is>
      </c>
      <c r="G1" s="2" t="inlineStr">
        <is>
          <t>Ending cash need</t>
        </is>
      </c>
      <c r="H1" s="2" t="inlineStr">
        <is>
          <t>ARR run-rate</t>
        </is>
      </c>
    </row>
    <row r="2" ht="24" customHeight="1">
      <c r="A2" s="5" t="inlineStr">
        <is>
          <t>Q1</t>
        </is>
      </c>
      <c r="B2" s="5" t="n">
        <v>1</v>
      </c>
      <c r="C2" s="5" t="n">
        <v>3</v>
      </c>
      <c r="D2" s="6">
        <f>SUM('Monthly Model'!J2:J4)</f>
        <v/>
      </c>
      <c r="E2" s="6">
        <f>SUM('Monthly Model'!Q2:Q4)</f>
        <v/>
      </c>
      <c r="F2" s="6">
        <f>SUM('Monthly Model'!R2:R4)</f>
        <v/>
      </c>
      <c r="G2" s="6">
        <f>'Monthly Model'!S4</f>
        <v/>
      </c>
      <c r="H2" s="6">
        <f>'Monthly Model'!T4</f>
        <v/>
      </c>
    </row>
    <row r="3" ht="24" customHeight="1">
      <c r="A3" s="5" t="inlineStr">
        <is>
          <t>Q2</t>
        </is>
      </c>
      <c r="B3" s="5" t="n">
        <v>4</v>
      </c>
      <c r="C3" s="5" t="n">
        <v>6</v>
      </c>
      <c r="D3" s="6">
        <f>SUM('Monthly Model'!J5:J7)</f>
        <v/>
      </c>
      <c r="E3" s="6">
        <f>SUM('Monthly Model'!Q5:Q7)</f>
        <v/>
      </c>
      <c r="F3" s="6">
        <f>SUM('Monthly Model'!R5:R7)</f>
        <v/>
      </c>
      <c r="G3" s="6">
        <f>'Monthly Model'!S7</f>
        <v/>
      </c>
      <c r="H3" s="6">
        <f>'Monthly Model'!T7</f>
        <v/>
      </c>
    </row>
    <row r="4" ht="24" customHeight="1">
      <c r="A4" s="5" t="inlineStr">
        <is>
          <t>Q3</t>
        </is>
      </c>
      <c r="B4" s="5" t="n">
        <v>7</v>
      </c>
      <c r="C4" s="5" t="n">
        <v>9</v>
      </c>
      <c r="D4" s="6">
        <f>SUM('Monthly Model'!J8:J10)</f>
        <v/>
      </c>
      <c r="E4" s="6">
        <f>SUM('Monthly Model'!Q8:Q10)</f>
        <v/>
      </c>
      <c r="F4" s="6">
        <f>SUM('Monthly Model'!R8:R10)</f>
        <v/>
      </c>
      <c r="G4" s="6">
        <f>'Monthly Model'!S10</f>
        <v/>
      </c>
      <c r="H4" s="6">
        <f>'Monthly Model'!T10</f>
        <v/>
      </c>
    </row>
    <row r="5" ht="24" customHeight="1">
      <c r="A5" s="5" t="inlineStr">
        <is>
          <t>Q4</t>
        </is>
      </c>
      <c r="B5" s="5" t="n">
        <v>10</v>
      </c>
      <c r="C5" s="5" t="n">
        <v>12</v>
      </c>
      <c r="D5" s="6">
        <f>SUM('Monthly Model'!J11:J13)</f>
        <v/>
      </c>
      <c r="E5" s="6">
        <f>SUM('Monthly Model'!Q11:Q13)</f>
        <v/>
      </c>
      <c r="F5" s="6">
        <f>SUM('Monthly Model'!R11:R13)</f>
        <v/>
      </c>
      <c r="G5" s="6">
        <f>'Monthly Model'!S13</f>
        <v/>
      </c>
      <c r="H5" s="6">
        <f>'Monthly Model'!T13</f>
        <v/>
      </c>
    </row>
    <row r="6" ht="24" customHeight="1">
      <c r="A6" s="5" t="inlineStr">
        <is>
          <t>Q5</t>
        </is>
      </c>
      <c r="B6" s="5" t="n">
        <v>13</v>
      </c>
      <c r="C6" s="5" t="n">
        <v>15</v>
      </c>
      <c r="D6" s="6">
        <f>SUM('Monthly Model'!J14:J16)</f>
        <v/>
      </c>
      <c r="E6" s="6">
        <f>SUM('Monthly Model'!Q14:Q16)</f>
        <v/>
      </c>
      <c r="F6" s="6">
        <f>SUM('Monthly Model'!R14:R16)</f>
        <v/>
      </c>
      <c r="G6" s="6">
        <f>'Monthly Model'!S16</f>
        <v/>
      </c>
      <c r="H6" s="6">
        <f>'Monthly Model'!T16</f>
        <v/>
      </c>
    </row>
    <row r="7" ht="24" customHeight="1">
      <c r="A7" s="5" t="inlineStr">
        <is>
          <t>Q6</t>
        </is>
      </c>
      <c r="B7" s="5" t="n">
        <v>16</v>
      </c>
      <c r="C7" s="5" t="n">
        <v>18</v>
      </c>
      <c r="D7" s="6">
        <f>SUM('Monthly Model'!J17:J19)</f>
        <v/>
      </c>
      <c r="E7" s="6">
        <f>SUM('Monthly Model'!Q17:Q19)</f>
        <v/>
      </c>
      <c r="F7" s="6">
        <f>SUM('Monthly Model'!R17:R19)</f>
        <v/>
      </c>
      <c r="G7" s="6">
        <f>'Monthly Model'!S19</f>
        <v/>
      </c>
      <c r="H7" s="6">
        <f>'Monthly Model'!T19</f>
        <v/>
      </c>
    </row>
    <row r="8" ht="24" customHeight="1">
      <c r="A8" s="5" t="inlineStr">
        <is>
          <t>Q7</t>
        </is>
      </c>
      <c r="B8" s="5" t="n">
        <v>19</v>
      </c>
      <c r="C8" s="5" t="n">
        <v>21</v>
      </c>
      <c r="D8" s="6">
        <f>SUM('Monthly Model'!J20:J22)</f>
        <v/>
      </c>
      <c r="E8" s="6">
        <f>SUM('Monthly Model'!Q20:Q22)</f>
        <v/>
      </c>
      <c r="F8" s="6">
        <f>SUM('Monthly Model'!R20:R22)</f>
        <v/>
      </c>
      <c r="G8" s="6">
        <f>'Monthly Model'!S22</f>
        <v/>
      </c>
      <c r="H8" s="6">
        <f>'Monthly Model'!T22</f>
        <v/>
      </c>
    </row>
    <row r="9" ht="24" customHeight="1">
      <c r="A9" s="5" t="inlineStr">
        <is>
          <t>Q8</t>
        </is>
      </c>
      <c r="B9" s="5" t="n">
        <v>22</v>
      </c>
      <c r="C9" s="5" t="n">
        <v>24</v>
      </c>
      <c r="D9" s="6">
        <f>SUM('Monthly Model'!J23:J25)</f>
        <v/>
      </c>
      <c r="E9" s="6">
        <f>SUM('Monthly Model'!Q23:Q25)</f>
        <v/>
      </c>
      <c r="F9" s="6">
        <f>SUM('Monthly Model'!R23:R25)</f>
        <v/>
      </c>
      <c r="G9" s="6">
        <f>'Monthly Model'!S25</f>
        <v/>
      </c>
      <c r="H9" s="6">
        <f>'Monthly Model'!T25</f>
        <v/>
      </c>
    </row>
    <row r="10" ht="24" customHeight="1">
      <c r="A10" s="5" t="inlineStr">
        <is>
          <t>Q9</t>
        </is>
      </c>
      <c r="B10" s="5" t="n">
        <v>25</v>
      </c>
      <c r="C10" s="5" t="n">
        <v>27</v>
      </c>
      <c r="D10" s="6">
        <f>SUM('Monthly Model'!J26:J28)</f>
        <v/>
      </c>
      <c r="E10" s="6">
        <f>SUM('Monthly Model'!Q26:Q28)</f>
        <v/>
      </c>
      <c r="F10" s="6">
        <f>SUM('Monthly Model'!R26:R28)</f>
        <v/>
      </c>
      <c r="G10" s="6">
        <f>'Monthly Model'!S28</f>
        <v/>
      </c>
      <c r="H10" s="6">
        <f>'Monthly Model'!T28</f>
        <v/>
      </c>
    </row>
    <row r="11" ht="24" customHeight="1">
      <c r="A11" s="5" t="inlineStr">
        <is>
          <t>Q10</t>
        </is>
      </c>
      <c r="B11" s="5" t="n">
        <v>28</v>
      </c>
      <c r="C11" s="5" t="n">
        <v>30</v>
      </c>
      <c r="D11" s="6">
        <f>SUM('Monthly Model'!J29:J31)</f>
        <v/>
      </c>
      <c r="E11" s="6">
        <f>SUM('Monthly Model'!Q29:Q31)</f>
        <v/>
      </c>
      <c r="F11" s="6">
        <f>SUM('Monthly Model'!R29:R31)</f>
        <v/>
      </c>
      <c r="G11" s="6">
        <f>'Monthly Model'!S31</f>
        <v/>
      </c>
      <c r="H11" s="6">
        <f>'Monthly Model'!T31</f>
        <v/>
      </c>
    </row>
    <row r="12" ht="24" customHeight="1">
      <c r="A12" s="5" t="inlineStr">
        <is>
          <t>Q11</t>
        </is>
      </c>
      <c r="B12" s="5" t="n">
        <v>31</v>
      </c>
      <c r="C12" s="5" t="n">
        <v>33</v>
      </c>
      <c r="D12" s="6">
        <f>SUM('Monthly Model'!J32:J34)</f>
        <v/>
      </c>
      <c r="E12" s="6">
        <f>SUM('Monthly Model'!Q32:Q34)</f>
        <v/>
      </c>
      <c r="F12" s="6">
        <f>SUM('Monthly Model'!R32:R34)</f>
        <v/>
      </c>
      <c r="G12" s="6">
        <f>'Monthly Model'!S34</f>
        <v/>
      </c>
      <c r="H12" s="6">
        <f>'Monthly Model'!T34</f>
        <v/>
      </c>
    </row>
    <row r="13" ht="24" customHeight="1">
      <c r="A13" s="5" t="inlineStr">
        <is>
          <t>Q12</t>
        </is>
      </c>
      <c r="B13" s="5" t="n">
        <v>34</v>
      </c>
      <c r="C13" s="5" t="n">
        <v>36</v>
      </c>
      <c r="D13" s="6">
        <f>SUM('Monthly Model'!J35:J37)</f>
        <v/>
      </c>
      <c r="E13" s="6">
        <f>SUM('Monthly Model'!Q35:Q37)</f>
        <v/>
      </c>
      <c r="F13" s="6">
        <f>SUM('Monthly Model'!R35:R37)</f>
        <v/>
      </c>
      <c r="G13" s="6">
        <f>'Monthly Model'!S37</f>
        <v/>
      </c>
      <c r="H13" s="6">
        <f>'Monthly Model'!T37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70" customWidth="1" min="6" max="6"/>
  </cols>
  <sheetData>
    <row r="1" ht="32" customHeight="1">
      <c r="A1" s="2" t="inlineStr">
        <is>
          <t>Scenario</t>
        </is>
      </c>
      <c r="B1" s="2" t="inlineStr">
        <is>
          <t>Year 1 ARR</t>
        </is>
      </c>
      <c r="C1" s="2" t="inlineStr">
        <is>
          <t>Year 2 ARR</t>
        </is>
      </c>
      <c r="D1" s="2" t="inlineStr">
        <is>
          <t>Year 3 ARR</t>
        </is>
      </c>
      <c r="E1" s="2" t="inlineStr">
        <is>
          <t>Cash need</t>
        </is>
      </c>
      <c r="F1" s="2" t="inlineStr">
        <is>
          <t>Interpretation</t>
        </is>
      </c>
    </row>
    <row r="2" ht="24" customHeight="1">
      <c r="A2" s="5" t="inlineStr">
        <is>
          <t>Conservative</t>
        </is>
      </c>
      <c r="B2" s="5" t="inlineStr">
        <is>
          <t>$40k-$120k</t>
        </is>
      </c>
      <c r="C2" s="5" t="inlineStr">
        <is>
          <t>$250k-$600k</t>
        </is>
      </c>
      <c r="D2" s="5" t="inlineStr">
        <is>
          <t>$0.8M-$1.5M</t>
        </is>
      </c>
      <c r="E2" s="5" t="inlineStr">
        <is>
          <t>€80k-€150k</t>
        </is>
      </c>
      <c r="F2" s="5" t="inlineStr">
        <is>
          <t>Small cashflow product if CAC stays low and team remains compact</t>
        </is>
      </c>
    </row>
    <row r="3" ht="24" customHeight="1">
      <c r="A3" s="5" t="inlineStr">
        <is>
          <t>Base</t>
        </is>
      </c>
      <c r="B3" s="5" t="inlineStr">
        <is>
          <t>$150k-$400k</t>
        </is>
      </c>
      <c r="C3" s="5" t="inlineStr">
        <is>
          <t>$0.8M-$2M</t>
        </is>
      </c>
      <c r="D3" s="5" t="inlineStr">
        <is>
          <t>$3M-$6M</t>
        </is>
      </c>
      <c r="E3" s="5" t="inlineStr">
        <is>
          <t>€150k-€500k</t>
        </is>
      </c>
      <c r="F3" s="5" t="inlineStr">
        <is>
          <t>Standalone business / seed story if retention and annual plans work</t>
        </is>
      </c>
    </row>
    <row r="4" ht="24" customHeight="1">
      <c r="A4" s="5" t="inlineStr">
        <is>
          <t>Strong</t>
        </is>
      </c>
      <c r="B4" s="5" t="inlineStr">
        <is>
          <t>$0.5M-$1M</t>
        </is>
      </c>
      <c r="C4" s="5" t="inlineStr">
        <is>
          <t>$3M-$6M</t>
        </is>
      </c>
      <c r="D4" s="5" t="inlineStr">
        <is>
          <t>$8M-$15M</t>
        </is>
      </c>
      <c r="E4" s="5" t="inlineStr">
        <is>
          <t>€500k+</t>
        </is>
      </c>
      <c r="F4" s="5" t="inlineStr">
        <is>
          <t>Strategic interest from wellness, astrology, AI companion or creator platforms</t>
        </is>
      </c>
    </row>
    <row r="5" ht="24" customHeight="1">
      <c r="A5" s="5" t="inlineStr">
        <is>
          <t>Stop / pivot</t>
        </is>
      </c>
      <c r="B5" s="5" t="inlineStr">
        <is>
          <t>&lt;$40k</t>
        </is>
      </c>
      <c r="C5" s="5" t="inlineStr">
        <is>
          <t>&lt;$250k</t>
        </is>
      </c>
      <c r="D5" s="5" t="inlineStr">
        <is>
          <t>No retention</t>
        </is>
      </c>
      <c r="E5" s="5" t="inlineStr">
        <is>
          <t>Stop after validation</t>
        </is>
      </c>
      <c r="F5" s="5" t="inlineStr">
        <is>
          <t>Stop if D1 &lt;20%, paid intent &lt;5%, CAC/LTV broken or Canvas causality is unclear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32" customWidth="1" min="2" max="2"/>
    <col width="18" customWidth="1" min="3" max="3"/>
    <col width="68" customWidth="1" min="4" max="4"/>
  </cols>
  <sheetData>
    <row r="1" ht="32" customHeight="1">
      <c r="A1" s="2" t="inlineStr">
        <is>
          <t>Metric</t>
        </is>
      </c>
      <c r="B1" s="2" t="inlineStr">
        <is>
          <t>Formula / value</t>
        </is>
      </c>
      <c r="C1" s="2" t="inlineStr">
        <is>
          <t>Base result</t>
        </is>
      </c>
      <c r="D1" s="2" t="inlineStr">
        <is>
          <t>Why it matters</t>
        </is>
      </c>
    </row>
    <row r="2" ht="24" customHeight="1">
      <c r="A2" s="5" t="inlineStr">
        <is>
          <t>Net subscription per payer</t>
        </is>
      </c>
      <c r="B2" s="5">
        <f>Inputs!B3*Inputs!B2*(1-Inputs!B4)</f>
        <v/>
      </c>
      <c r="C2" s="6">
        <f>Inputs!B3*Inputs!B2*(1-Inputs!B4)</f>
        <v/>
      </c>
      <c r="D2" s="5" t="inlineStr">
        <is>
          <t>Revenue retained after payment/store fee</t>
        </is>
      </c>
    </row>
    <row r="3" ht="24" customHeight="1">
      <c r="A3" s="5" t="inlineStr">
        <is>
          <t>Token revenue per payer</t>
        </is>
      </c>
      <c r="B3" s="5">
        <f>Inputs!B5*Inputs!B2</f>
        <v/>
      </c>
      <c r="C3" s="6">
        <f>Inputs!B5*Inputs!B2</f>
        <v/>
      </c>
      <c r="D3" s="5" t="inlineStr">
        <is>
          <t>Optional premium upside</t>
        </is>
      </c>
    </row>
    <row r="4" ht="24" customHeight="1">
      <c r="A4" s="5" t="inlineStr">
        <is>
          <t>Variable COGS per payer</t>
        </is>
      </c>
      <c r="B4" s="5">
        <f>Inputs!B6+Inputs!B8</f>
        <v/>
      </c>
      <c r="C4" s="6">
        <f>Inputs!B6+Inputs!B8</f>
        <v/>
      </c>
      <c r="D4" s="5" t="inlineStr">
        <is>
          <t>AI/video/image/support variable cost</t>
        </is>
      </c>
    </row>
    <row r="5" ht="24" customHeight="1">
      <c r="A5" s="5" t="inlineStr">
        <is>
          <t>Contribution per payer</t>
        </is>
      </c>
      <c r="B5" s="5">
        <f>B2+B3-B4</f>
        <v/>
      </c>
      <c r="C5" s="6">
        <f>C2+C3-C4</f>
        <v/>
      </c>
      <c r="D5" s="5" t="inlineStr">
        <is>
          <t>What is left before marketing and fixed team costs</t>
        </is>
      </c>
    </row>
    <row r="6" ht="24" customHeight="1">
      <c r="A6" s="5" t="inlineStr">
        <is>
          <t>Free MAU COGS</t>
        </is>
      </c>
      <c r="B6" s="5">
        <f>Inputs!B7</f>
        <v/>
      </c>
      <c r="C6" s="6">
        <f>Inputs!B7</f>
        <v/>
      </c>
      <c r="D6" s="5" t="inlineStr">
        <is>
          <t>Free usage must stay capped</t>
        </is>
      </c>
    </row>
    <row r="7" ht="24" customHeight="1">
      <c r="A7" s="5" t="inlineStr">
        <is>
          <t>Break-even payers at €25k fixed/month</t>
        </is>
      </c>
      <c r="B7" s="5">
        <f>25000/C5</f>
        <v/>
      </c>
      <c r="C7" s="6">
        <f>25000/C5</f>
        <v/>
      </c>
      <c r="D7" s="5" t="inlineStr">
        <is>
          <t>Rough minimum payer base to cover compact ops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36" customWidth="1" min="2" max="2"/>
    <col width="18" customWidth="1" min="3" max="3"/>
    <col width="16" customWidth="1" min="4" max="4"/>
  </cols>
  <sheetData>
    <row r="1" ht="32" customHeight="1">
      <c r="A1" s="2" t="inlineStr">
        <is>
          <t>Check</t>
        </is>
      </c>
      <c r="B1" s="2" t="inlineStr">
        <is>
          <t>Formula</t>
        </is>
      </c>
      <c r="C1" s="2" t="inlineStr">
        <is>
          <t>Expected</t>
        </is>
      </c>
      <c r="D1" s="2" t="inlineStr">
        <is>
          <t>Status</t>
        </is>
      </c>
    </row>
    <row r="2" ht="24" customHeight="1">
      <c r="A2" s="5" t="inlineStr">
        <is>
          <t>Revenue non-negative</t>
        </is>
      </c>
      <c r="B2" s="5">
        <f>MIN('Monthly Model'!J2:J37)&gt;=0</f>
        <v/>
      </c>
      <c r="C2" s="5" t="inlineStr">
        <is>
          <t>TRUE</t>
        </is>
      </c>
      <c r="D2" s="5">
        <f>IF(B2=C2,"OK","CHECK")</f>
        <v/>
      </c>
    </row>
    <row r="3" ht="24" customHeight="1">
      <c r="A3" s="5" t="inlineStr">
        <is>
          <t>Spend non-negative</t>
        </is>
      </c>
      <c r="B3" s="5">
        <f>MIN('Monthly Model'!Q2:Q37)&gt;=0</f>
        <v/>
      </c>
      <c r="C3" s="5" t="inlineStr">
        <is>
          <t>TRUE</t>
        </is>
      </c>
      <c r="D3" s="5">
        <f>IF(B3=C3,"OK","CHECK")</f>
        <v/>
      </c>
    </row>
    <row r="4" ht="24" customHeight="1">
      <c r="A4" s="5" t="inlineStr">
        <is>
          <t>Cash need visible</t>
        </is>
      </c>
      <c r="B4" s="5">
        <f>MAX('Monthly Model'!S2:S37)&gt;0</f>
        <v/>
      </c>
      <c r="C4" s="5" t="inlineStr">
        <is>
          <t>TRUE</t>
        </is>
      </c>
      <c r="D4" s="5">
        <f>IF(B4=C4,"OK","CHECK")</f>
        <v/>
      </c>
    </row>
    <row r="5" ht="24" customHeight="1">
      <c r="A5" s="5" t="inlineStr">
        <is>
          <t>Month count</t>
        </is>
      </c>
      <c r="B5" s="5">
        <f>COUNT('Monthly Model'!A2:A37)</f>
        <v/>
      </c>
      <c r="C5" s="5" t="n">
        <v>36</v>
      </c>
      <c r="D5" s="5">
        <f>IF(B5=C5,"OK","CHECK")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2026-06-06T06:30:03Z</dcterms:created>
  <dcterms:modified xmlns:dcterms="http://purl.org/dc/terms/" xmlns:xsi="http://www.w3.org/2001/XMLSchema-instance" xsi:type="dcterms:W3CDTF">2026-06-06T06:30:03Z</dcterms:modified>
</cp:coreProperties>
</file>