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1a420d6d1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60c496aa343477b"/>
    <x:sheet xmlns:r="http://schemas.openxmlformats.org/officeDocument/2006/relationships" name="Assumptions" sheetId="2" r:id="Rcc48a491111146dd"/>
    <x:sheet xmlns:r="http://schemas.openxmlformats.org/officeDocument/2006/relationships" name="Unit Economics" sheetId="3" r:id="Rc3dcf9ec003c4f36"/>
    <x:sheet xmlns:r="http://schemas.openxmlformats.org/officeDocument/2006/relationships" name="Service Stack" sheetId="4" r:id="R2ad8bc4f478344ff"/>
    <x:sheet xmlns:r="http://schemas.openxmlformats.org/officeDocument/2006/relationships" name="Monetization" sheetId="5" r:id="R42e21758a01641cb"/>
    <x:sheet xmlns:r="http://schemas.openxmlformats.org/officeDocument/2006/relationships" name="Checks" sheetId="6" r:id="Rb3b687815a15415e"/>
    <x:sheet xmlns:r="http://schemas.openxmlformats.org/officeDocument/2006/relationships" name="Sources" sheetId="7" r:id="R82366ebf0ea8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0.00"/>
    <x:numFmt numFmtId="201" formatCode="#,##0"/>
    <x:numFmt numFmtId="202" formatCode="0.0%"/>
    <x:numFmt numFmtId="203" formatCode="$#,##0;[Red]($#,##0);-"/>
    <x:numFmt numFmtId="204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c83f4776b4a42" /><Relationship Type="http://schemas.openxmlformats.org/officeDocument/2006/relationships/theme" Target="/xl/theme/theme1.xml" Id="R43bc734866774744" /><Relationship Type="http://schemas.openxmlformats.org/officeDocument/2006/relationships/sharedStrings" Target="/xl/sharedStrings.xml" Id="R4483a42892604200" /><Relationship Type="http://schemas.openxmlformats.org/officeDocument/2006/relationships/worksheet" Target="/xl/worksheets/sheet1.xml" Id="Rf60c496aa343477b" /><Relationship Type="http://schemas.openxmlformats.org/officeDocument/2006/relationships/worksheet" Target="/xl/worksheets/sheet2.xml" Id="Rcc48a491111146dd" /><Relationship Type="http://schemas.openxmlformats.org/officeDocument/2006/relationships/worksheet" Target="/xl/worksheets/sheet3.xml" Id="Rc3dcf9ec003c4f36" /><Relationship Type="http://schemas.openxmlformats.org/officeDocument/2006/relationships/worksheet" Target="/xl/worksheets/sheet4.xml" Id="R2ad8bc4f478344ff" /><Relationship Type="http://schemas.openxmlformats.org/officeDocument/2006/relationships/worksheet" Target="/xl/worksheets/sheet5.xml" Id="R42e21758a01641cb" /><Relationship Type="http://schemas.openxmlformats.org/officeDocument/2006/relationships/worksheet" Target="/xl/worksheets/sheet6.xml" Id="Rb3b687815a15415e" /><Relationship Type="http://schemas.openxmlformats.org/officeDocument/2006/relationships/worksheet" Target="/xl/worksheets/sheet7.xml" Id="R82366ebf0ea84b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d83b68346444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net revenue by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revenue</c:v>
          </c:tx>
          <c:cat>
            <c:strLit>
              <c:ptCount val="3"/>
              <c:pt idx="0">
                <c:v>Conservative</c:v>
              </c:pt>
              <c:pt idx="1">
                <c:v>Base</c:v>
              </c:pt>
              <c:pt idx="2">
                <c:v>Upside</c:v>
              </c:pt>
            </c:strLit>
          </c:cat>
          <c:val>
            <c:numLit>
              <c:formatCode>General</c:formatCode>
              <c:ptCount val="3"/>
              <c:pt idx="0">
                <c:v>413</c:v>
              </c:pt>
              <c:pt idx="1">
                <c:v>13099</c:v>
              </c:pt>
              <c:pt idx="2">
                <c:v>96957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19</xdr:row>
      <xdr:rowOff>0</xdr:rowOff>
    </xdr:from>
    <xdr:ext cx="5715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d83b683464444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7248edc6ce4efb" /></Relationships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6.110000610351562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16.110000610351562" hidden="0" customWidth="1"/>
    <x:col min="8" max="8" width="16.110000610351562" hidden="0" customWidth="1"/>
  </x:cols>
  <x:sheetData>
    <x:row r="1">
      <x:c r="A1" s="4" t="str">
        <x:v>АУРА: financial model v1 / monetization architecture</x:v>
      </x:c>
      <x:c r="B1" s="4" t="str">
        <x:v>АУРА: financial model v1 / monetization architecture</x:v>
      </x:c>
      <x:c r="C1" s="4" t="str">
        <x:v>АУРА: financial model v1 / monetization architecture</x:v>
      </x:c>
      <x:c r="D1" s="4" t="str">
        <x:v>АУРА: financial model v1 / monetization architecture</x:v>
      </x:c>
      <x:c r="E1" s="4" t="str">
        <x:v>АУРА: financial model v1 / monetization architecture</x:v>
      </x:c>
      <x:c r="F1" s="4" t="str">
        <x:v>АУРА: financial model v1 / monetization architecture</x:v>
      </x:c>
      <x:c r="G1" s="4" t="str">
        <x:v>АУРА: financial model v1 / monetization architecture</x:v>
      </x:c>
      <x:c r="H1" s="4" t="str">
        <x:v>АУРА: financial model v1 / monetization architecture</x:v>
      </x:c>
    </x:row>
    <x:row r="3">
      <x:c r="A3" s="7" t="str">
        <x:v>Назначение модели</x:v>
      </x:c>
      <x:c r="B3" s="9" t="str">
        <x:v>Эта книга переводит исследование АУРА в проверяемую экономику: сценарии подписки, токены, AI-себестоимость, store fees, CAC, payback и условия, при которых продукт выглядит дорогим, но маржинальным.</x:v>
      </x:c>
      <x:c r="C3" s="9" t="str"/>
      <x:c r="D3" s="9" t="str"/>
      <x:c r="E3" s="9" t="str"/>
      <x:c r="F3" s="9" t="str"/>
      <x:c r="G3" s="9" t="str"/>
      <x:c r="H3" s="9" t="str"/>
    </x:row>
    <x:row r="4">
      <x:c r="A4" s="7" t="str">
        <x:v>Ключевой вывод</x:v>
      </x:c>
      <x:c r="B4" s="9" t="str">
        <x:v>Базовую ежедневную петлю нужно делать дешевой: текст + reset + память + static/layered avatar. Видеоаватары и cinematic-сцены должны быть premium/token/milestone, а не безлимитной частью подписки.</x:v>
      </x:c>
      <x:c r="C4" s="9" t="str"/>
      <x:c r="D4" s="9" t="str"/>
      <x:c r="E4" s="9" t="str"/>
      <x:c r="F4" s="9" t="str"/>
      <x:c r="G4" s="9" t="str"/>
      <x:c r="H4" s="9" t="str"/>
    </x:row>
    <x:row r="5">
      <x:c r="A5" s="7" t="str">
        <x:v>Модель</x:v>
      </x:c>
      <x:c r="B5" s="9" t="str">
        <x:v>Conservative / Base / Upside, 12-месячный run-rate, USD, до налогов, без зарплат core-команды; маркетинг считается отдельно через CAC/payback.</x:v>
      </x:c>
      <x:c r="C5" s="9" t="str"/>
      <x:c r="D5" s="9" t="str"/>
      <x:c r="E5" s="9" t="str"/>
      <x:c r="F5" s="9" t="str"/>
      <x:c r="G5" s="9" t="str"/>
      <x:c r="H5" s="9" t="str"/>
    </x:row>
    <x:row r="6">
      <x:c r="A6" s="7" t="str">
        <x:v>Что менять вручную</x:v>
      </x:c>
      <x:c r="B6" s="9" t="str">
        <x:v>Сценарные допущения на листе Assumptions: пользователи, конверсии, churn, pricing, AI-частота, CAC, store fee, сервисные расходы.</x:v>
      </x:c>
      <x:c r="C6" s="9" t="str"/>
      <x:c r="D6" s="9" t="str"/>
      <x:c r="E6" s="9" t="str"/>
      <x:c r="F6" s="9" t="str"/>
      <x:c r="G6" s="9" t="str"/>
      <x:c r="H6" s="9" t="str"/>
    </x:row>
    <x:row r="7">
      <x:c r="A7" s="7" t="str">
        <x:v>Граница точности</x:v>
      </x:c>
      <x:c r="B7" s="9" t="str">
        <x:v>Это не прогноз выручки, а управленческая модель для решения: какой MVP делать, где paywall, сколько можно тратить на привлечение и почему video-avatar нельзя давать безлимитно.</x:v>
      </x:c>
      <x:c r="C7" s="9" t="str"/>
      <x:c r="D7" s="9" t="str"/>
      <x:c r="E7" s="9" t="str"/>
      <x:c r="F7" s="9" t="str"/>
      <x:c r="G7" s="9" t="str"/>
      <x:c r="H7" s="9" t="str"/>
    </x:row>
    <x:row r="10">
      <x:c r="A10" s="29" t="str">
        <x:v>Metric</x:v>
      </x:c>
      <x:c r="B10" s="29" t="str">
        <x:v>Conservative</x:v>
      </x:c>
      <x:c r="C10" s="29" t="str">
        <x:v>Base</x:v>
      </x:c>
      <x:c r="D10" s="29" t="str">
        <x:v>Upside</x:v>
      </x:c>
      <x:c r="E10" s="29" t="str">
        <x:v>Read</x:v>
      </x:c>
    </x:row>
    <x:row r="11">
      <x:c r="A11" s="16" t="str">
        <x:v>Gross revenue</x:v>
      </x:c>
      <x:c r="B11" s="30" t="n">
        <x:f>'Unit Economics'!B10</x:f>
        <x:v>626.4467999999999</x:v>
      </x:c>
      <x:c r="C11" s="30" t="n">
        <x:f>'Unit Economics'!C10</x:f>
        <x:v>15974.323750000003</x:v>
      </x:c>
      <x:c r="D11" s="30" t="n">
        <x:f>'Unit Economics'!D10</x:f>
        <x:v>117524.21625000001</x:v>
      </x:c>
      <x:c r="E11" s="16" t="str">
        <x:v>Monthly run-rate</x:v>
      </x:c>
    </x:row>
    <x:row r="12">
      <x:c r="A12" s="16" t="str">
        <x:v>Net revenue</x:v>
      </x:c>
      <x:c r="B12" s="30" t="n">
        <x:f>'Unit Economics'!B12</x:f>
        <x:v>413.454888</x:v>
      </x:c>
      <x:c r="C12" s="30" t="n">
        <x:f>'Unit Economics'!C12</x:f>
        <x:v>13098.945475000002</x:v>
      </x:c>
      <x:c r="D12" s="30" t="n">
        <x:f>'Unit Economics'!D12</x:f>
        <x:v>96957.47840625001</x:v>
      </x:c>
      <x:c r="E12" s="16" t="str">
        <x:v>After store/refunds/billing</x:v>
      </x:c>
    </x:row>
    <x:row r="13">
      <x:c r="A13" s="16" t="str">
        <x:v>Product gross margin</x:v>
      </x:c>
      <x:c r="B13" s="31" t="n">
        <x:f>'Unit Economics'!B21</x:f>
        <x:v>0.29230489590922426</x:v>
      </x:c>
      <x:c r="C13" s="31" t="n">
        <x:f>'Unit Economics'!C21</x:f>
        <x:v>0.6882573480595392</x:v>
      </x:c>
      <x:c r="D13" s="31" t="n">
        <x:f>'Unit Economics'!D21</x:f>
        <x:v>0.706010299890776</x:v>
      </x:c>
      <x:c r="E13" s="16" t="str">
        <x:v>Before marketing</x:v>
      </x:c>
    </x:row>
    <x:row r="14">
      <x:c r="A14" s="16" t="str">
        <x:v>Contribution margin</x:v>
      </x:c>
      <x:c r="B14" s="30" t="n">
        <x:f>'Unit Economics'!B23</x:f>
        <x:v>-2679.145112</x:v>
      </x:c>
      <x:c r="C14" s="30" t="n">
        <x:f>'Unit Economics'!C23</x:f>
        <x:v>-40984.554525</x:v>
      </x:c>
      <x:c r="D14" s="30" t="n">
        <x:f>'Unit Economics'!D23</x:f>
        <x:v>-257047.02159375</x:v>
      </x:c>
      <x:c r="E14" s="16" t="str">
        <x:v>After marketing</x:v>
      </x:c>
    </x:row>
    <x:row r="15">
      <x:c r="A15" s="16" t="str">
        <x:v>Payback months</x:v>
      </x:c>
      <x:c r="B15" s="32" t="n">
        <x:f>'Unit Economics'!B27</x:f>
        <x:v>23.168280955256034</x:v>
      </x:c>
      <x:c r="C15" s="32" t="n">
        <x:f>'Unit Economics'!C27</x:f>
        <x:v>5.546037646021035</x:v>
      </x:c>
      <x:c r="D15" s="32" t="n">
        <x:f>'Unit Economics'!D27</x:f>
        <x:v>4.755088932263035</x:v>
      </x:c>
      <x:c r="E15" s="16" t="str">
        <x:v>CAC / gross profit per paid</x:v>
      </x:c>
    </x:row>
    <x:row r="16">
      <x:c r="A16" s="16" t="str">
        <x:v>Paid subscribers</x:v>
      </x:c>
      <x:c r="B16" s="33" t="n">
        <x:f>'Unit Economics'!B6</x:f>
        <x:v>84</x:v>
      </x:c>
      <x:c r="C16" s="33" t="n">
        <x:f>'Unit Economics'!C6</x:f>
        <x:v>1650.0000000000002</x:v>
      </x:c>
      <x:c r="D16" s="33" t="n">
        <x:f>'Unit Economics'!D6</x:f>
        <x:v>8370</x:v>
      </x:c>
      <x:c r="E16" s="16" t="str">
        <x:v>Modeled paid users</x:v>
      </x:c>
    </x:row>
    <x:row r="17">
      <x:c r="A17" s="16" t="str">
        <x:v>Decision</x:v>
      </x:c>
      <x:c r="B17" s="16" t="str">
        <x:f>'Unit Economics'!B28</x:f>
        <x:v>Fix pricing/costs</x:v>
      </x:c>
      <x:c r="C17" s="16" t="str">
        <x:f>'Unit Economics'!C28</x:f>
        <x:v>OK gross margin</x:v>
      </x:c>
      <x:c r="D17" s="16" t="str">
        <x:f>'Unit Economics'!D28</x:f>
        <x:v>OK gross margin</x:v>
      </x:c>
      <x:c r="E17" s="16" t="str">
        <x:v>Gross margin status</x:v>
      </x:c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  <x:drawing xmlns:r="http://schemas.openxmlformats.org/officeDocument/2006/relationships" r:id="R737248edc6ce4efb"/>
</x:worksheet>
</file>

<file path=xl/worksheets/sheet2.xml><?xml version="1.0" encoding="utf-8"?>
<x:worksheet xmlns:x="http://schemas.openxmlformats.org/spreadsheetml/2006/main">
  <x:sheetFormatPr defaultRowHeight="15"/>
  <x:cols>
    <x:col min="1" max="1" width="31.110000610351562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47.779998779296875" hidden="0" customWidth="1"/>
  </x:cols>
  <x:sheetData>
    <x:row r="1">
      <x:c r="A1" s="4" t="str">
        <x:v>Scenario assumptions</x:v>
      </x:c>
      <x:c r="B1" s="4" t="str">
        <x:v>Scenario assumptions</x:v>
      </x:c>
      <x:c r="C1" s="4" t="str">
        <x:v>Scenario assumptions</x:v>
      </x:c>
      <x:c r="D1" s="4" t="str">
        <x:v>Scenario assumptions</x:v>
      </x:c>
      <x:c r="E1" s="4" t="str">
        <x:v>Scenario assumptions</x:v>
      </x:c>
    </x:row>
    <x:row r="3">
      <x:c r="A3" s="17" t="str">
        <x:v>Driver</x:v>
      </x:c>
      <x:c r="B3" s="17" t="str">
        <x:v>Conservative</x:v>
      </x:c>
      <x:c r="C3" s="17" t="str">
        <x:v>Base</x:v>
      </x:c>
      <x:c r="D3" s="17" t="str">
        <x:v>Upside</x:v>
      </x:c>
      <x:c r="E3" s="17" t="str">
        <x:v>Source / note</x:v>
      </x:c>
    </x:row>
    <x:row r="4">
      <x:c r="A4" s="18" t="str">
        <x:v>Monthly active users</x:v>
      </x:c>
      <x:c r="B4" s="21" t="n">
        <x:v>10000</x:v>
      </x:c>
      <x:c r="C4" s="21" t="n">
        <x:v>50000</x:v>
      </x:c>
      <x:c r="D4" s="21" t="n">
        <x:v>150000</x:v>
      </x:c>
      <x:c r="E4" s="18" t="str">
        <x:v>Analyst assumption: early consumer app scale</x:v>
      </x:c>
    </x:row>
    <x:row r="5">
      <x:c r="A5" s="18" t="str">
        <x:v>Activation to first value</x:v>
      </x:c>
      <x:c r="B5" s="21" t="n">
        <x:v>0.35</x:v>
      </x:c>
      <x:c r="C5" s="21" t="n">
        <x:v>0.5</x:v>
      </x:c>
      <x:c r="D5" s="21" t="n">
        <x:v>0.62</x:v>
      </x:c>
      <x:c r="E5" s="18" t="str">
        <x:v>Prototype metric: first episode + first avatar seen</x:v>
      </x:c>
    </x:row>
    <x:row r="6">
      <x:c r="A6" s="18" t="str">
        <x:v>Trial start conversion</x:v>
      </x:c>
      <x:c r="B6" s="22" t="n">
        <x:v>0.06</x:v>
      </x:c>
      <x:c r="C6" s="22" t="n">
        <x:v>0.12</x:v>
      </x:c>
      <x:c r="D6" s="22" t="n">
        <x:v>0.15</x:v>
      </x:c>
      <x:c r="E6" s="18" t="str">
        <x:v>Paywall experiment metric</x:v>
      </x:c>
    </x:row>
    <x:row r="7">
      <x:c r="A7" s="18" t="str">
        <x:v>Trial to paid conversion</x:v>
      </x:c>
      <x:c r="B7" s="22" t="n">
        <x:v>0.4</x:v>
      </x:c>
      <x:c r="C7" s="22" t="n">
        <x:v>0.55</x:v>
      </x:c>
      <x:c r="D7" s="22" t="n">
        <x:v>0.6</x:v>
      </x:c>
      <x:c r="E7" s="18" t="str">
        <x:v>Subscription benchmark assumption; validate in paid flow</x:v>
      </x:c>
    </x:row>
    <x:row r="8">
      <x:c r="A8" s="18" t="str">
        <x:v>Monthly churn</x:v>
      </x:c>
      <x:c r="B8" s="22" t="n">
        <x:v>0.14</x:v>
      </x:c>
      <x:c r="C8" s="22" t="n">
        <x:v>0.08</x:v>
      </x:c>
      <x:c r="D8" s="22" t="n">
        <x:v>0.06</x:v>
      </x:c>
      <x:c r="E8" s="18" t="str">
        <x:v>Retention/churn assumption; validate D30/D60</x:v>
      </x:c>
    </x:row>
    <x:row r="9">
      <x:c r="A9" s="18" t="str">
        <x:v>Monthly subscription price</x:v>
      </x:c>
      <x:c r="B9" s="20" t="n">
        <x:v>7.99</x:v>
      </x:c>
      <x:c r="C9" s="20" t="n">
        <x:v>9.99</x:v>
      </x:c>
      <x:c r="D9" s="20" t="n">
        <x:v>12.99</x:v>
      </x:c>
      <x:c r="E9" s="18" t="str">
        <x:v>Comparable consumer subscription range</x:v>
      </x:c>
    </x:row>
    <x:row r="10">
      <x:c r="A10" s="18" t="str">
        <x:v>Annual plan price</x:v>
      </x:c>
      <x:c r="B10" s="20" t="n">
        <x:v>39.99</x:v>
      </x:c>
      <x:c r="C10" s="20" t="n">
        <x:v>59.99</x:v>
      </x:c>
      <x:c r="D10" s="20" t="n">
        <x:v>79.99</x:v>
      </x:c>
      <x:c r="E10" s="18" t="str">
        <x:v>Annual discount / cashflow lever</x:v>
      </x:c>
    </x:row>
    <x:row r="11">
      <x:c r="A11" s="18" t="str">
        <x:v>Annual plan mix</x:v>
      </x:c>
      <x:c r="B11" s="22" t="n">
        <x:v>0.2</x:v>
      </x:c>
      <x:c r="C11" s="22" t="n">
        <x:v>0.35</x:v>
      </x:c>
      <x:c r="D11" s="22" t="n">
        <x:v>0.45</x:v>
      </x:c>
      <x:c r="E11" s="18" t="str">
        <x:v>Higher annual mix improves cashflow and payback</x:v>
      </x:c>
    </x:row>
    <x:row r="12">
      <x:c r="A12" s="18" t="str">
        <x:v>Token buyer share of paid users</x:v>
      </x:c>
      <x:c r="B12" s="22" t="n">
        <x:v>0.08</x:v>
      </x:c>
      <x:c r="C12" s="22" t="n">
        <x:v>0.18</x:v>
      </x:c>
      <x:c r="D12" s="22" t="n">
        <x:v>0.3</x:v>
      </x:c>
      <x:c r="E12" s="18" t="str">
        <x:v>Premium avatar/video appetite assumption</x:v>
      </x:c>
    </x:row>
    <x:row r="13">
      <x:c r="A13" s="18" t="str">
        <x:v>Monthly token ARPPU</x:v>
      </x:c>
      <x:c r="B13" s="22" t="n">
        <x:v>4.99</x:v>
      </x:c>
      <x:c r="C13" s="22" t="n">
        <x:v>7.99</x:v>
      </x:c>
      <x:c r="D13" s="22" t="n">
        <x:v>12.99</x:v>
      </x:c>
      <x:c r="E13" s="18" t="str">
        <x:v>Token packs / special episodes</x:v>
      </x:c>
    </x:row>
    <x:row r="14">
      <x:c r="A14" s="18" t="str">
        <x:v>Store fee</x:v>
      </x:c>
      <x:c r="B14" s="22" t="n">
        <x:v>0.3</x:v>
      </x:c>
      <x:c r="C14" s="22" t="n">
        <x:v>0.15</x:v>
      </x:c>
      <x:c r="D14" s="22" t="n">
        <x:v>0.15</x:v>
      </x:c>
      <x:c r="E14" s="18" t="str">
        <x:v>Apple/Google: model stress case vs eligible 15% scenarios</x:v>
      </x:c>
    </x:row>
    <x:row r="15">
      <x:c r="A15" s="18" t="str">
        <x:v>RevenueCat / billing tooling fee</x:v>
      </x:c>
      <x:c r="B15" s="20" t="n">
        <x:v>0.01</x:v>
      </x:c>
      <x:c r="C15" s="20" t="n">
        <x:v>0.01</x:v>
      </x:c>
      <x:c r="D15" s="20" t="n">
        <x:v>0.01</x:v>
      </x:c>
      <x:c r="E15" s="18" t="str">
        <x:v>Infrastructure assumption; check plan/volume</x:v>
      </x:c>
    </x:row>
    <x:row r="16">
      <x:c r="A16" s="18" t="str">
        <x:v>Refunds / chargebacks</x:v>
      </x:c>
      <x:c r="B16" s="20" t="n">
        <x:v>0.03</x:v>
      </x:c>
      <x:c r="C16" s="20" t="n">
        <x:v>0.02</x:v>
      </x:c>
      <x:c r="D16" s="20" t="n">
        <x:v>0.015</x:v>
      </x:c>
      <x:c r="E16" s="18" t="str">
        <x:v>Support and refund buffer</x:v>
      </x:c>
    </x:row>
    <x:row r="17">
      <x:c r="A17" s="18" t="str">
        <x:v>LLM cost per activated user / month</x:v>
      </x:c>
      <x:c r="B17" s="20" t="n">
        <x:v>0.04</x:v>
      </x:c>
      <x:c r="C17" s="20" t="n">
        <x:v>0.05</x:v>
      </x:c>
      <x:c r="D17" s="20" t="n">
        <x:v>0.1</x:v>
      </x:c>
      <x:c r="E17" s="18" t="str">
        <x:v>Text episode + interpretation + retries</x:v>
      </x:c>
    </x:row>
    <x:row r="18">
      <x:c r="A18" s="18" t="str">
        <x:v>Image generations per activated user / month</x:v>
      </x:c>
      <x:c r="B18" s="20" t="n">
        <x:v>0.5</x:v>
      </x:c>
      <x:c r="C18" s="20" t="n">
        <x:v>1.5</x:v>
      </x:c>
      <x:c r="D18" s="20" t="n">
        <x:v>2</x:v>
      </x:c>
      <x:c r="E18" s="18" t="str">
        <x:v>Static/future-self visual frequency; not unlimited</x:v>
      </x:c>
    </x:row>
    <x:row r="19">
      <x:c r="A19" s="18" t="str">
        <x:v>Cost per image generation</x:v>
      </x:c>
      <x:c r="B19" s="20" t="n">
        <x:v>0.04</x:v>
      </x:c>
      <x:c r="C19" s="20" t="n">
        <x:v>0.03</x:v>
      </x:c>
      <x:c r="D19" s="20" t="n">
        <x:v>0.025</x:v>
      </x:c>
      <x:c r="E19" s="18" t="str">
        <x:v>OpenAI/Stability/Replicate blended assumption</x:v>
      </x:c>
    </x:row>
    <x:row r="20">
      <x:c r="A20" s="18" t="str">
        <x:v>Voice minutes per activated user / month</x:v>
      </x:c>
      <x:c r="B20" s="20" t="n">
        <x:v>0</x:v>
      </x:c>
      <x:c r="C20" s="20" t="n">
        <x:v>0.2</x:v>
      </x:c>
      <x:c r="D20" s="20" t="n">
        <x:v>0.4</x:v>
      </x:c>
      <x:c r="E20" s="18" t="str">
        <x:v>Voice reset/narration is optional after MVP</x:v>
      </x:c>
    </x:row>
    <x:row r="21">
      <x:c r="A21" s="18" t="str">
        <x:v>Cost per voice minute</x:v>
      </x:c>
      <x:c r="B21" s="20" t="n">
        <x:v>0.03</x:v>
      </x:c>
      <x:c r="C21" s="20" t="n">
        <x:v>0.03</x:v>
      </x:c>
      <x:c r="D21" s="20" t="n">
        <x:v>0.03</x:v>
      </x:c>
      <x:c r="E21" s="18" t="str">
        <x:v>TTS blended assumption</x:v>
      </x:c>
    </x:row>
    <x:row r="22">
      <x:c r="A22" s="18" t="str">
        <x:v>Video seconds per paid user / month</x:v>
      </x:c>
      <x:c r="B22" s="20" t="n">
        <x:v>0</x:v>
      </x:c>
      <x:c r="C22" s="20" t="n">
        <x:v>8</x:v>
      </x:c>
      <x:c r="D22" s="20" t="n">
        <x:v>15</x:v>
      </x:c>
      <x:c r="E22" s="18" t="str">
        <x:v>Premium/milestone video; not daily free loop</x:v>
      </x:c>
    </x:row>
    <x:row r="23">
      <x:c r="A23" s="18" t="str">
        <x:v>Cost per video second</x:v>
      </x:c>
      <x:c r="B23" s="20" t="n">
        <x:v>0.02</x:v>
      </x:c>
      <x:c r="C23" s="20" t="n">
        <x:v>0.03</x:v>
      </x:c>
      <x:c r="D23" s="20" t="n">
        <x:v>0.05</x:v>
      </x:c>
      <x:c r="E23" s="18" t="str">
        <x:v>Runway/Luma/HeyGen/AKOOL blended stress range</x:v>
      </x:c>
    </x:row>
    <x:row r="24">
      <x:c r="A24" s="18" t="str">
        <x:v>Storage + analytics per activated user / month</x:v>
      </x:c>
      <x:c r="B24" s="20" t="n">
        <x:v>0.02</x:v>
      </x:c>
      <x:c r="C24" s="20" t="n">
        <x:v>0.03</x:v>
      </x:c>
      <x:c r="D24" s="20" t="n">
        <x:v>0.05</x:v>
      </x:c>
      <x:c r="E24" s="18" t="str">
        <x:v>Supabase/Firebase/PostHog blended assumption</x:v>
      </x:c>
    </x:row>
    <x:row r="25">
      <x:c r="A25" s="18" t="str">
        <x:v>Support + QA per paid user / month</x:v>
      </x:c>
      <x:c r="B25" s="22" t="n">
        <x:v>0.15</x:v>
      </x:c>
      <x:c r="C25" s="22" t="n">
        <x:v>0.25</x:v>
      </x:c>
      <x:c r="D25" s="22" t="n">
        <x:v>0.3</x:v>
      </x:c>
      <x:c r="E25" s="18" t="str">
        <x:v>Avatar errors, refunds, moderation, support</x:v>
      </x:c>
    </x:row>
    <x:row r="26">
      <x:c r="A26" s="18" t="str">
        <x:v>CAC per activated user</x:v>
      </x:c>
      <x:c r="B26" s="22" t="n">
        <x:v>0.8</x:v>
      </x:c>
      <x:c r="C26" s="22" t="n">
        <x:v>2</x:v>
      </x:c>
      <x:c r="D26" s="22" t="n">
        <x:v>3.5</x:v>
      </x:c>
      <x:c r="E26" s="18" t="str">
        <x:v>Paid social / creator / ASO blended scenario</x:v>
      </x:c>
    </x:row>
    <x:row r="27">
      <x:c r="A27" s="18" t="str">
        <x:v>Gross margin target</x:v>
      </x:c>
      <x:c r="B27" s="19" t="n">
        <x:v>0.55</x:v>
      </x:c>
      <x:c r="C27" s="19" t="n">
        <x:v>0.65</x:v>
      </x:c>
      <x:c r="D27" s="19" t="n">
        <x:v>0.7</x:v>
      </x:c>
      <x:c r="E27" s="18" t="str">
        <x:v>Management target before marketing</x:v>
      </x:c>
    </x:row>
    <x:row r="28">
      <x:c r="A28" s="18" t="str">
        <x:v>Payback target, months</x:v>
      </x:c>
      <x:c r="B28" s="19" t="n">
        <x:v>6</x:v>
      </x:c>
      <x:c r="C28" s="19" t="n">
        <x:v>6</x:v>
      </x:c>
      <x:c r="D28" s="19" t="n">
        <x:v>6</x:v>
      </x:c>
      <x:c r="E28" s="18" t="str">
        <x:v>Consumer subscription model target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889999389648438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40" hidden="0" customWidth="1"/>
  </x:cols>
  <x:sheetData>
    <x:row r="1">
      <x:c r="A1" s="4" t="str">
        <x:v>Scenario output: revenue, costs, margin and payback</x:v>
      </x:c>
      <x:c r="B1" s="4" t="str">
        <x:v>Scenario output: revenue, costs, margin and payback</x:v>
      </x:c>
      <x:c r="C1" s="4" t="str">
        <x:v>Scenario output: revenue, costs, margin and payback</x:v>
      </x:c>
      <x:c r="D1" s="4" t="str">
        <x:v>Scenario output: revenue, costs, margin and payback</x:v>
      </x:c>
      <x:c r="E1" s="4" t="str">
        <x:v>Scenario output: revenue, costs, margin and payback</x:v>
      </x:c>
    </x:row>
    <x:row r="3">
      <x:c r="A3" s="17" t="str">
        <x:v>Metric</x:v>
      </x:c>
      <x:c r="B3" s="17" t="str">
        <x:v>Conservative</x:v>
      </x:c>
      <x:c r="C3" s="17" t="str">
        <x:v>Base</x:v>
      </x:c>
      <x:c r="D3" s="17" t="str">
        <x:v>Upside</x:v>
      </x:c>
      <x:c r="E3" s="17" t="str">
        <x:v>Formula / interpretation</x:v>
      </x:c>
    </x:row>
    <x:row r="4">
      <x:c r="A4" s="18" t="str">
        <x:v>Activated users</x:v>
      </x:c>
      <x:c r="B4" s="25" t="n">
        <x:f>Assumptions!B4*Assumptions!B5</x:f>
        <x:v>3500</x:v>
      </x:c>
      <x:c r="C4" s="25" t="n">
        <x:f>Assumptions!C4*Assumptions!C5</x:f>
        <x:v>25000</x:v>
      </x:c>
      <x:c r="D4" s="25" t="n">
        <x:f>Assumptions!D4*Assumptions!D5</x:f>
        <x:v>93000</x:v>
      </x:c>
      <x:c r="E4" s="18" t="str">
        <x:v>MAU * activation</x:v>
      </x:c>
    </x:row>
    <x:row r="5">
      <x:c r="A5" s="18" t="str">
        <x:v>Trial starts</x:v>
      </x:c>
      <x:c r="B5" s="25" t="n">
        <x:f>B4*Assumptions!B6</x:f>
        <x:v>210</x:v>
      </x:c>
      <x:c r="C5" s="25" t="n">
        <x:f>C4*Assumptions!C6</x:f>
        <x:v>3000</x:v>
      </x:c>
      <x:c r="D5" s="25" t="n">
        <x:f>D4*Assumptions!D6</x:f>
        <x:v>13950</x:v>
      </x:c>
      <x:c r="E5" s="18" t="str">
        <x:v>Activated * trial start</x:v>
      </x:c>
    </x:row>
    <x:row r="6">
      <x:c r="A6" s="18" t="str">
        <x:v>Paying subscribers</x:v>
      </x:c>
      <x:c r="B6" s="25" t="n">
        <x:f>B5*Assumptions!B7</x:f>
        <x:v>84</x:v>
      </x:c>
      <x:c r="C6" s="25" t="n">
        <x:f>C5*Assumptions!C7</x:f>
        <x:v>1650.0000000000002</x:v>
      </x:c>
      <x:c r="D6" s="25" t="n">
        <x:f>D5*Assumptions!D7</x:f>
        <x:v>8370</x:v>
      </x:c>
      <x:c r="E6" s="18" t="str">
        <x:v>Trials * trial-to-paid</x:v>
      </x:c>
    </x:row>
    <x:row r="7">
      <x:c r="A7" s="18" t="str">
        <x:v>Blended subscription ARPPU</x:v>
      </x:c>
      <x:c r="B7" s="23" t="n">
        <x:f>Assumptions!B9*(1-Assumptions!B11)+(Assumptions!B10/12)*Assumptions!B11</x:f>
        <x:v>7.0585</x:v>
      </x:c>
      <x:c r="C7" s="23" t="n">
        <x:f>Assumptions!C9*(1-Assumptions!C11)+(Assumptions!C10/12)*Assumptions!C11</x:f>
        <x:v>8.243208333333333</x:v>
      </x:c>
      <x:c r="D7" s="23" t="n">
        <x:f>Assumptions!D9*(1-Assumptions!D11)+(Assumptions!D10/12)*Assumptions!D11</x:f>
        <x:v>10.144125</x:v>
      </x:c>
      <x:c r="E7" s="18" t="str">
        <x:v>Monthly recognized revenue: monthly plan + annual plan / 12</x:v>
      </x:c>
    </x:row>
    <x:row r="8">
      <x:c r="A8" s="18" t="str">
        <x:v>Subscription gross revenue</x:v>
      </x:c>
      <x:c r="B8" s="23" t="n">
        <x:f>B6*B7</x:f>
        <x:v>592.914</x:v>
      </x:c>
      <x:c r="C8" s="23" t="n">
        <x:f>C6*C7</x:f>
        <x:v>13601.293750000003</x:v>
      </x:c>
      <x:c r="D8" s="23" t="n">
        <x:f>D6*D7</x:f>
        <x:v>84906.32625000001</x:v>
      </x:c>
      <x:c r="E8" s="18" t="str">
        <x:v>Paying subscribers * blended subscription ARPPU</x:v>
      </x:c>
    </x:row>
    <x:row r="9">
      <x:c r="A9" s="18" t="str">
        <x:v>Token gross revenue</x:v>
      </x:c>
      <x:c r="B9" s="23" t="n">
        <x:f>B6*Assumptions!B12*Assumptions!B13</x:f>
        <x:v>33.5328</x:v>
      </x:c>
      <x:c r="C9" s="23" t="n">
        <x:f>C6*Assumptions!C12*Assumptions!C13</x:f>
        <x:v>2373.0300000000007</x:v>
      </x:c>
      <x:c r="D9" s="23" t="n">
        <x:f>D6*Assumptions!D12*Assumptions!D13</x:f>
        <x:v>32617.89</x:v>
      </x:c>
      <x:c r="E9" s="18" t="str">
        <x:v>Paid users * token buyer share * token ARPPU</x:v>
      </x:c>
    </x:row>
    <x:row r="10">
      <x:c r="A10" s="18" t="str">
        <x:v>Gross revenue</x:v>
      </x:c>
      <x:c r="B10" s="23" t="n">
        <x:f>B8+B9</x:f>
        <x:v>626.4467999999999</x:v>
      </x:c>
      <x:c r="C10" s="23" t="n">
        <x:f>C8+C9</x:f>
        <x:v>15974.323750000003</x:v>
      </x:c>
      <x:c r="D10" s="23" t="n">
        <x:f>D8+D9</x:f>
        <x:v>117524.21625000001</x:v>
      </x:c>
      <x:c r="E10" s="18" t="str">
        <x:v>Subscription + premium tokens</x:v>
      </x:c>
    </x:row>
    <x:row r="11">
      <x:c r="A11" s="18" t="str">
        <x:v>Store + billing + refund fees</x:v>
      </x:c>
      <x:c r="B11" s="23" t="n">
        <x:f>B10*(Assumptions!B14+Assumptions!B15+Assumptions!B16)</x:f>
        <x:v>212.99191199999996</x:v>
      </x:c>
      <x:c r="C11" s="23" t="n">
        <x:f>C10*(Assumptions!C14+Assumptions!C15+Assumptions!C16)</x:f>
        <x:v>2875.3782750000005</x:v>
      </x:c>
      <x:c r="D11" s="23" t="n">
        <x:f>D10*(Assumptions!D14+Assumptions!D15+Assumptions!D16)</x:f>
        <x:v>20566.73784375</x:v>
      </x:c>
      <x:c r="E11" s="18" t="str">
        <x:v>Store fee + billing + refunds</x:v>
      </x:c>
    </x:row>
    <x:row r="12">
      <x:c r="A12" s="18" t="str">
        <x:v>Net revenue</x:v>
      </x:c>
      <x:c r="B12" s="23" t="n">
        <x:f>B10-B11</x:f>
        <x:v>413.454888</x:v>
      </x:c>
      <x:c r="C12" s="23" t="n">
        <x:f>C10-C11</x:f>
        <x:v>13098.945475000002</x:v>
      </x:c>
      <x:c r="D12" s="23" t="n">
        <x:f>D10-D11</x:f>
        <x:v>96957.47840625001</x:v>
      </x:c>
      <x:c r="E12" s="18" t="str">
        <x:v>Revenue after platform fees</x:v>
      </x:c>
    </x:row>
    <x:row r="13">
      <x:c r="A13" s="18" t="str">
        <x:v>LLM text cost</x:v>
      </x:c>
      <x:c r="B13" s="23" t="n">
        <x:f>B4*Assumptions!B17</x:f>
        <x:v>140</x:v>
      </x:c>
      <x:c r="C13" s="23" t="n">
        <x:f>C4*Assumptions!C17</x:f>
        <x:v>1250</x:v>
      </x:c>
      <x:c r="D13" s="23" t="n">
        <x:f>D4*Assumptions!D17</x:f>
        <x:v>9300</x:v>
      </x:c>
      <x:c r="E13" s="18" t="str">
        <x:v>Activated users * text cost</x:v>
      </x:c>
    </x:row>
    <x:row r="14">
      <x:c r="A14" s="18" t="str">
        <x:v>Image/avatar cost</x:v>
      </x:c>
      <x:c r="B14" s="23" t="n">
        <x:f>B4*Assumptions!B18*Assumptions!B19</x:f>
        <x:v>70</x:v>
      </x:c>
      <x:c r="C14" s="23" t="n">
        <x:f>C4*Assumptions!C18*Assumptions!C19</x:f>
        <x:v>1125</x:v>
      </x:c>
      <x:c r="D14" s="23" t="n">
        <x:f>D4*Assumptions!D18*Assumptions!D19</x:f>
        <x:v>4650</x:v>
      </x:c>
      <x:c r="E14" s="18" t="str">
        <x:v>Activated users * images * unit cost</x:v>
      </x:c>
    </x:row>
    <x:row r="15">
      <x:c r="A15" s="18" t="str">
        <x:v>Voice cost</x:v>
      </x:c>
      <x:c r="B15" s="23" t="n">
        <x:f>B4*Assumptions!B20*Assumptions!B21</x:f>
        <x:v>0</x:v>
      </x:c>
      <x:c r="C15" s="23" t="n">
        <x:f>C4*Assumptions!C20*Assumptions!C21</x:f>
        <x:v>150</x:v>
      </x:c>
      <x:c r="D15" s="23" t="n">
        <x:f>D4*Assumptions!D20*Assumptions!D21</x:f>
        <x:v>1116</x:v>
      </x:c>
      <x:c r="E15" s="18" t="str">
        <x:v>Activated users * voice minutes * unit cost</x:v>
      </x:c>
    </x:row>
    <x:row r="16">
      <x:c r="A16" s="18" t="str">
        <x:v>Video/avatar cost</x:v>
      </x:c>
      <x:c r="B16" s="23" t="n">
        <x:f>B6*Assumptions!B22*Assumptions!B23</x:f>
        <x:v>0</x:v>
      </x:c>
      <x:c r="C16" s="23" t="n">
        <x:f>C6*Assumptions!C22*Assumptions!C23</x:f>
        <x:v>396.00000000000006</x:v>
      </x:c>
      <x:c r="D16" s="23" t="n">
        <x:f>D6*Assumptions!D22*Assumptions!D23</x:f>
        <x:v>6277.5</x:v>
      </x:c>
      <x:c r="E16" s="18" t="str">
        <x:v>Paid users * video seconds * cost/sec</x:v>
      </x:c>
    </x:row>
    <x:row r="17">
      <x:c r="A17" s="18" t="str">
        <x:v>Storage + analytics cost</x:v>
      </x:c>
      <x:c r="B17" s="23" t="n">
        <x:f>B4*Assumptions!B24</x:f>
        <x:v>70</x:v>
      </x:c>
      <x:c r="C17" s="23" t="n">
        <x:f>C4*Assumptions!C24</x:f>
        <x:v>750</x:v>
      </x:c>
      <x:c r="D17" s="23" t="n">
        <x:f>D4*Assumptions!D24</x:f>
        <x:v>4650</x:v>
      </x:c>
      <x:c r="E17" s="18" t="str">
        <x:v>Activated users * infra cost</x:v>
      </x:c>
    </x:row>
    <x:row r="18">
      <x:c r="A18" s="18" t="str">
        <x:v>Support + QA cost</x:v>
      </x:c>
      <x:c r="B18" s="23" t="n">
        <x:f>B6*Assumptions!B25</x:f>
        <x:v>12.6</x:v>
      </x:c>
      <x:c r="C18" s="23" t="n">
        <x:f>C6*Assumptions!C25</x:f>
        <x:v>412.50000000000006</x:v>
      </x:c>
      <x:c r="D18" s="23" t="n">
        <x:f>D6*Assumptions!D25</x:f>
        <x:v>2511</x:v>
      </x:c>
      <x:c r="E18" s="18" t="str">
        <x:v>Paid users * support/QA</x:v>
      </x:c>
    </x:row>
    <x:row r="19">
      <x:c r="A19" s="18" t="str">
        <x:v>Total product COGS</x:v>
      </x:c>
      <x:c r="B19" s="23" t="n">
        <x:f>SUM(B13:B18)</x:f>
        <x:v>292.6</x:v>
      </x:c>
      <x:c r="C19" s="23" t="n">
        <x:f>SUM(C13:C18)</x:f>
        <x:v>4083.5</x:v>
      </x:c>
      <x:c r="D19" s="23" t="n">
        <x:f>SUM(D13:D18)</x:f>
        <x:v>28504.5</x:v>
      </x:c>
      <x:c r="E19" s="18" t="str">
        <x:v>AI + infra + support</x:v>
      </x:c>
    </x:row>
    <x:row r="20">
      <x:c r="A20" s="18" t="str">
        <x:v>Product gross profit</x:v>
      </x:c>
      <x:c r="B20" s="23" t="n">
        <x:f>B12-B19</x:f>
        <x:v>120.85488799999996</x:v>
      </x:c>
      <x:c r="C20" s="23" t="n">
        <x:f>C12-C19</x:f>
        <x:v>9015.445475000002</x:v>
      </x:c>
      <x:c r="D20" s="23" t="n">
        <x:f>D12-D19</x:f>
        <x:v>68452.97840625001</x:v>
      </x:c>
      <x:c r="E20" s="18" t="str">
        <x:v>Net revenue - product COGS</x:v>
      </x:c>
    </x:row>
    <x:row r="21">
      <x:c r="A21" s="18" t="str">
        <x:v>Product gross margin</x:v>
      </x:c>
      <x:c r="B21" s="26" t="n">
        <x:f>IF(B12=0,0,B20/B12)</x:f>
        <x:v>0.29230489590922426</x:v>
      </x:c>
      <x:c r="C21" s="26" t="n">
        <x:f>IF(C12=0,0,C20/C12)</x:f>
        <x:v>0.6882573480595392</x:v>
      </x:c>
      <x:c r="D21" s="26" t="n">
        <x:f>IF(D12=0,0,D20/D12)</x:f>
        <x:v>0.706010299890776</x:v>
      </x:c>
      <x:c r="E21" s="18" t="str">
        <x:v>Before marketing</x:v>
      </x:c>
    </x:row>
    <x:row r="22">
      <x:c r="A22" s="18" t="str">
        <x:v>Marketing spend</x:v>
      </x:c>
      <x:c r="B22" s="23" t="n">
        <x:f>B4*Assumptions!B26</x:f>
        <x:v>2800</x:v>
      </x:c>
      <x:c r="C22" s="23" t="n">
        <x:f>C4*Assumptions!C26</x:f>
        <x:v>50000</x:v>
      </x:c>
      <x:c r="D22" s="23" t="n">
        <x:f>D4*Assumptions!D26</x:f>
        <x:v>325500</x:v>
      </x:c>
      <x:c r="E22" s="18" t="str">
        <x:v>Activated users * CAC</x:v>
      </x:c>
    </x:row>
    <x:row r="23">
      <x:c r="A23" s="18" t="str">
        <x:v>Contribution margin</x:v>
      </x:c>
      <x:c r="B23" s="23" t="n">
        <x:f>B20-B22</x:f>
        <x:v>-2679.145112</x:v>
      </x:c>
      <x:c r="C23" s="23" t="n">
        <x:f>C20-C22</x:f>
        <x:v>-40984.554525</x:v>
      </x:c>
      <x:c r="D23" s="23" t="n">
        <x:f>D20-D22</x:f>
        <x:v>-257047.02159375</x:v>
      </x:c>
      <x:c r="E23" s="18" t="str">
        <x:v>Gross profit - marketing</x:v>
      </x:c>
    </x:row>
    <x:row r="24">
      <x:c r="A24" s="18" t="str">
        <x:v>Contribution margin %</x:v>
      </x:c>
      <x:c r="B24" s="26" t="n">
        <x:f>IF(B12=0,0,B23/B12)</x:f>
        <x:v>-6.479897057112553</x:v>
      </x:c>
      <x:c r="C24" s="26" t="n">
        <x:f>IF(C12=0,0,C23/C12)</x:f>
        <x:v>-3.1288438144292674</x:v>
      </x:c>
      <x:c r="D24" s="26" t="n">
        <x:f>IF(D12=0,0,D23/D12)</x:f>
        <x:v>-2.65113146318356</x:v>
      </x:c>
      <x:c r="E24" s="18" t="str">
        <x:v>After marketing</x:v>
      </x:c>
    </x:row>
    <x:row r="25">
      <x:c r="A25" s="18" t="str">
        <x:v>CAC per paid subscriber</x:v>
      </x:c>
      <x:c r="B25" s="23" t="n">
        <x:f>IF(B6=0,0,B22/B6)</x:f>
        <x:v>33.333333333333336</x:v>
      </x:c>
      <x:c r="C25" s="23" t="n">
        <x:f>IF(C6=0,0,C22/C6)</x:f>
        <x:v>30.303030303030297</x:v>
      </x:c>
      <x:c r="D25" s="23" t="n">
        <x:f>IF(D6=0,0,D22/D6)</x:f>
        <x:v>38.888888888888886</x:v>
      </x:c>
      <x:c r="E25" s="18" t="str">
        <x:v>Marketing / paid users</x:v>
      </x:c>
    </x:row>
    <x:row r="26">
      <x:c r="A26" s="18" t="str">
        <x:v>Monthly gross profit per paid user</x:v>
      </x:c>
      <x:c r="B26" s="23" t="n">
        <x:f>IF(B6=0,0,B20/B6)</x:f>
        <x:v>1.4387486666666662</x:v>
      </x:c>
      <x:c r="C26" s="23" t="n">
        <x:f>IF(C6=0,0,C20/C6)</x:f>
        <x:v>5.463906348484849</x:v>
      </x:c>
      <x:c r="D26" s="23" t="n">
        <x:f>IF(D6=0,0,D20/D6)</x:f>
        <x:v>8.178372569444445</x:v>
      </x:c>
      <x:c r="E26" s="18" t="str">
        <x:v>Before marketing, per paid user</x:v>
      </x:c>
    </x:row>
    <x:row r="27">
      <x:c r="A27" s="18" t="str">
        <x:v>Payback months</x:v>
      </x:c>
      <x:c r="B27" s="27" t="n">
        <x:f>IF(B26&lt;=0,999,B25/B26)</x:f>
        <x:v>23.168280955256034</x:v>
      </x:c>
      <x:c r="C27" s="27" t="n">
        <x:f>IF(C26&lt;=0,999,C25/C26)</x:f>
        <x:v>5.546037646021035</x:v>
      </x:c>
      <x:c r="D27" s="27" t="n">
        <x:f>IF(D26&lt;=0,999,D25/D26)</x:f>
        <x:v>4.755088932263035</x:v>
      </x:c>
      <x:c r="E27" s="18" t="str">
        <x:v>CAC per paid / gross profit per paid</x:v>
      </x:c>
    </x:row>
    <x:row r="28">
      <x:c r="A28" s="18" t="str">
        <x:v>Decision</x:v>
      </x:c>
      <x:c r="B28" s="23" t="str">
        <x:f>IF(B21&gt;=Assumptions!B27,"OK gross margin", "Fix pricing/costs")</x:f>
        <x:v>Fix pricing/costs</x:v>
      </x:c>
      <x:c r="C28" s="23" t="str">
        <x:f>IF(C21&gt;=Assumptions!C27,"OK gross margin", "Fix pricing/costs")</x:f>
        <x:v>OK gross margin</x:v>
      </x:c>
      <x:c r="D28" s="23" t="str">
        <x:f>IF(D21&gt;=Assumptions!D27,"OK gross margin", "Fix pricing/costs")</x:f>
        <x:v>OK gross margin</x:v>
      </x:c>
      <x:c r="E28" s="18" t="str">
        <x:v>Margin check</x:v>
      </x:c>
    </x:row>
    <x:row r="29">
      <x:c r="B29" s="24"/>
      <x:c r="C29" s="24"/>
      <x:c r="D29" s="24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24.440000534057617" hidden="0" customWidth="1"/>
    <x:col min="3" max="3" width="24.440000534057617" hidden="0" customWidth="1"/>
    <x:col min="4" max="4" width="24.440000534057617" hidden="0" customWidth="1"/>
    <x:col min="5" max="5" width="40" hidden="0" customWidth="1"/>
    <x:col min="6" max="6" width="40" hidden="0" customWidth="1"/>
  </x:cols>
  <x:sheetData>
    <x:row r="1">
      <x:c r="A1" s="4" t="str">
        <x:v>Recommended service stack and cost posture</x:v>
      </x:c>
      <x:c r="B1" s="4" t="str">
        <x:v>Recommended service stack and cost posture</x:v>
      </x:c>
      <x:c r="C1" s="4" t="str">
        <x:v>Recommended service stack and cost posture</x:v>
      </x:c>
      <x:c r="D1" s="4" t="str">
        <x:v>Recommended service stack and cost posture</x:v>
      </x:c>
      <x:c r="E1" s="4" t="str">
        <x:v>Recommended service stack and cost posture</x:v>
      </x:c>
      <x:c r="F1" s="4" t="str">
        <x:v>Recommended service stack and cost posture</x:v>
      </x:c>
    </x:row>
    <x:row r="3">
      <x:c r="A3" s="17" t="str">
        <x:v>Layer</x:v>
      </x:c>
      <x:c r="B3" s="17" t="str">
        <x:v>MVP choice</x:v>
      </x:c>
      <x:c r="C3" s="17" t="str">
        <x:v>Scale / alternative</x:v>
      </x:c>
      <x:c r="D3" s="17" t="str">
        <x:v>Cost posture</x:v>
      </x:c>
      <x:c r="E3" s="17" t="str">
        <x:v>Why this is the right order</x:v>
      </x:c>
      <x:c r="F3" s="17" t="str">
        <x:v>Source / validation</x:v>
      </x:c>
    </x:row>
    <x:row r="4">
      <x:c r="A4" s="18" t="str">
        <x:v>Backend + auth + storage</x:v>
      </x:c>
      <x:c r="B4" s="18" t="str">
        <x:v>Supabase or Firebase</x:v>
      </x:c>
      <x:c r="C4" s="18" t="str">
        <x:v>Own backend only after scale</x:v>
      </x:c>
      <x:c r="D4" s="18" t="str">
        <x:v>Low-medium usage based</x:v>
      </x:c>
      <x:c r="E4" s="18" t="str">
        <x:v>MVP needs speed, auth, storage, events, not custom infra.</x:v>
      </x:c>
      <x:c r="F4" s="18" t="str">
        <x:v>Supabase/Firebase pricing</x:v>
      </x:c>
    </x:row>
    <x:row r="5">
      <x:c r="A5" s="18" t="str">
        <x:v>Subscription billing</x:v>
      </x:c>
      <x:c r="B5" s="18" t="str">
        <x:v>RevenueCat</x:v>
      </x:c>
      <x:c r="C5" s="18" t="str">
        <x:v>Direct store integrations later</x:v>
      </x:c>
      <x:c r="D5" s="18" t="str">
        <x:v>Low at start; fee after volume</x:v>
      </x:c>
      <x:c r="E5" s="18" t="str">
        <x:v>Avoid writing entitlement/paywall logic from scratch.</x:v>
      </x:c>
      <x:c r="F5" s="18" t="str">
        <x:v>RevenueCat pricing</x:v>
      </x:c>
    </x:row>
    <x:row r="6">
      <x:c r="A6" s="18" t="str">
        <x:v>Product analytics</x:v>
      </x:c>
      <x:c r="B6" s="18" t="str">
        <x:v>PostHog or Firebase Analytics</x:v>
      </x:c>
      <x:c r="C6" s="18" t="str">
        <x:v>Warehouse + BI later</x:v>
      </x:c>
      <x:c r="D6" s="18" t="str">
        <x:v>Usage based</x:v>
      </x:c>
      <x:c r="E6" s="18" t="str">
        <x:v>Need funnels, paywall experiments, feature flags, retention.</x:v>
      </x:c>
      <x:c r="F6" s="18" t="str">
        <x:v>PostHog pricing</x:v>
      </x:c>
    </x:row>
    <x:row r="7">
      <x:c r="A7" s="18" t="str">
        <x:v>Text / interpretation</x:v>
      </x:c>
      <x:c r="B7" s="18" t="str">
        <x:v>LLM provider</x:v>
      </x:c>
      <x:c r="C7" s="18" t="str">
        <x:v>Fine-tuned/local only later</x:v>
      </x:c>
      <x:c r="D7" s="18" t="str">
        <x:v>Low if prompts are short</x:v>
      </x:c>
      <x:c r="E7" s="18" t="str">
        <x:v>Daily loop must be cheap and high quality.</x:v>
      </x:c>
      <x:c r="F7" s="18" t="str">
        <x:v>Provider pricing</x:v>
      </x:c>
    </x:row>
    <x:row r="8">
      <x:c r="A8" s="18" t="str">
        <x:v>Static image/avatar</x:v>
      </x:c>
      <x:c r="B8" s="18" t="str">
        <x:v>OpenAI/Stability/Replicate</x:v>
      </x:c>
      <x:c r="C8" s="18" t="str">
        <x:v>ComfyUI + FLUX/SD after proof</x:v>
      </x:c>
      <x:c r="D8" s="18" t="str">
        <x:v>Medium; controllable with limits</x:v>
      </x:c>
      <x:c r="E8" s="18" t="str">
        <x:v>Best first visual wow without video cost.</x:v>
      </x:c>
      <x:c r="F8" s="18" t="str">
        <x:v>OpenAI/Stability/Replicate pricing</x:v>
      </x:c>
    </x:row>
    <x:row r="9">
      <x:c r="A9" s="18" t="str">
        <x:v>Voice</x:v>
      </x:c>
      <x:c r="B9" s="18" t="str">
        <x:v>ElevenLabs/Cartesia</x:v>
      </x:c>
      <x:c r="C9" s="18" t="str">
        <x:v>Local voice later only if needed</x:v>
      </x:c>
      <x:c r="D9" s="18" t="str">
        <x:v>Medium; optional</x:v>
      </x:c>
      <x:c r="E9" s="18" t="str">
        <x:v>Voice can increase emotional value but should not block MVP.</x:v>
      </x:c>
      <x:c r="F9" s="18" t="str">
        <x:v>ElevenLabs/Cartesia pricing</x:v>
      </x:c>
    </x:row>
    <x:row r="10">
      <x:c r="A10" s="18" t="str">
        <x:v>Video avatar</x:v>
      </x:c>
      <x:c r="B10" s="18" t="str">
        <x:v>HeyGen/D-ID/AKOOL/Creatify/Runway/Luma</x:v>
      </x:c>
      <x:c r="C10" s="18" t="str">
        <x:v>Local LivePortrait/SadTalker/Wav2Lip/MuseTalk experiments</x:v>
      </x:c>
      <x:c r="D10" s="18" t="str">
        <x:v>High; premium only</x:v>
      </x:c>
      <x:c r="E10" s="18" t="str">
        <x:v>Video is the wow layer but can destroy margin if unlimited.</x:v>
      </x:c>
      <x:c r="F10" s="18" t="str">
        <x:v>Official API/pricing pages</x:v>
      </x:c>
    </x:row>
    <x:row r="11">
      <x:c r="A11" s="18" t="str">
        <x:v>Local visual lab</x:v>
      </x:c>
      <x:c r="B11" s="18" t="str">
        <x:v>Not MVP default</x:v>
      </x:c>
      <x:c r="C11" s="18" t="str">
        <x:v>ComfyUI + FLUX/Stable Diffusion + LivePortrait</x:v>
      </x:c>
      <x:c r="D11" s="18" t="str">
        <x:v>Capex/MLOps instead of per-call API</x:v>
      </x:c>
      <x:c r="E11" s="18" t="str">
        <x:v>Use when we know which visual moments retain/pay.</x:v>
      </x:c>
      <x:c r="F11" s="18" t="str">
        <x:v>GitHub/Hugging Face repos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</x:cols>
  <x:sheetData>
    <x:row r="1">
      <x:c r="A1" s="4" t="str">
        <x:v>Monetization architecture</x:v>
      </x:c>
      <x:c r="B1" s="4" t="str">
        <x:v>Monetization architecture</x:v>
      </x:c>
      <x:c r="C1" s="4" t="str">
        <x:v>Monetization architecture</x:v>
      </x:c>
      <x:c r="D1" s="4" t="str">
        <x:v>Monetization architecture</x:v>
      </x:c>
      <x:c r="E1" s="4" t="str">
        <x:v>Monetization architecture</x:v>
      </x:c>
      <x:c r="F1" s="4" t="str">
        <x:v>Monetization architecture</x:v>
      </x:c>
    </x:row>
    <x:row r="3">
      <x:c r="A3" s="17" t="str">
        <x:v>Tier / mechanic</x:v>
      </x:c>
      <x:c r="B3" s="17" t="str">
        <x:v>User promise</x:v>
      </x:c>
      <x:c r="C3" s="17" t="str">
        <x:v>What is included</x:v>
      </x:c>
      <x:c r="D3" s="17" t="str">
        <x:v>What is excluded / premium</x:v>
      </x:c>
      <x:c r="E3" s="17" t="str">
        <x:v>Pricing hypothesis</x:v>
      </x:c>
      <x:c r="F3" s="17" t="str">
        <x:v>Risk</x:v>
      </x:c>
    </x:row>
    <x:row r="4">
      <x:c r="A4" s="18" t="str">
        <x:v>Free / first value</x:v>
      </x:c>
      <x:c r="B4" s="18" t="str">
        <x:v>Понять “это про меня” без оплаты</x:v>
      </x:c>
      <x:c r="C4" s="18" t="str">
        <x:v>1 short episode, first avatar card, one action/reset</x:v>
      </x:c>
      <x:c r="D4" s="18" t="str">
        <x:v>History, deeper interpretation, many visuals, video</x:v>
      </x:c>
      <x:c r="E4" s="18" t="str">
        <x:v>$0 / trial entry</x:v>
      </x:c>
      <x:c r="F4" s="18" t="str">
        <x:v>If too much is free, paid value blurs. If too little, user never trusts.</x:v>
      </x:c>
    </x:row>
    <x:row r="5">
      <x:c r="A5" s="18" t="str">
        <x:v>Core subscription</x:v>
      </x:c>
      <x:c r="B5" s="18" t="str">
        <x:v>Ежедневный ритуал и память сезона</x:v>
      </x:c>
      <x:c r="C5" s="18" t="str">
        <x:v>Daily episode, memory, progress, static/layered avatar, limited images</x:v>
      </x:c>
      <x:c r="D5" s="18" t="str">
        <x:v>Video avatar, cinematic trailers, high-frequency visuals</x:v>
      </x:c>
      <x:c r="E5" s="18" t="str">
        <x:v>$7.99-12.99/mo; $39.99-79.99/yr test range</x:v>
      </x:c>
      <x:c r="F5" s="18" t="str">
        <x:v>Needs retention; otherwise churn kills LTV.</x:v>
      </x:c>
    </x:row>
    <x:row r="6">
      <x:c r="A6" s="18" t="str">
        <x:v>Premium tokens</x:v>
      </x:c>
      <x:c r="B6" s="18" t="str">
        <x:v>Редкие сильные visual moments</x:v>
      </x:c>
      <x:c r="C6" s="18" t="str">
        <x:v>Video avatar, special episodes, season trailer, extra image packs</x:v>
      </x:c>
      <x:c r="D6" s="18" t="str">
        <x:v>Unlimited daily video</x:v>
      </x:c>
      <x:c r="E6" s="18" t="str">
        <x:v>$4.99-19.99 packs</x:v>
      </x:c>
      <x:c r="F6" s="18" t="str">
        <x:v>Can feel transactional if not tied to story/milestones.</x:v>
      </x:c>
    </x:row>
    <x:row r="7">
      <x:c r="A7" s="18" t="str">
        <x:v>Season packs</x:v>
      </x:c>
      <x:c r="B7" s="18" t="str">
        <x:v>Новая глава жизни</x:v>
      </x:c>
      <x:c r="C7" s="18" t="str">
        <x:v>Themes, archetypes, visual style, guided challenge</x:v>
      </x:c>
      <x:c r="D7" s="18" t="str">
        <x:v>Human coaching</x:v>
      </x:c>
      <x:c r="E7" s="18" t="str">
        <x:v>$9.99-29.99 one-off or included in higher plan</x:v>
      </x:c>
      <x:c r="F7" s="18" t="str">
        <x:v>Requires content depth and taste.</x:v>
      </x:c>
    </x:row>
    <x:row r="8">
      <x:c r="A8" s="18" t="str">
        <x:v>Human / expert layer</x:v>
      </x:c>
      <x:c r="B8" s="18" t="str">
        <x:v>Дорогое персональное сопровождение</x:v>
      </x:c>
      <x:c r="C8" s="18" t="str">
        <x:v>Session, interpretation, premium review</x:v>
      </x:c>
      <x:c r="D8" s="18" t="str">
        <x:v>Mass-market MVP</x:v>
      </x:c>
      <x:c r="E8" s="18" t="str">
        <x:v>$49-199+</x:v>
      </x:c>
      <x:c r="F8" s="18" t="str">
        <x:v>Operational complexity; not MVP default.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.67000007629394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33.33000183105469" hidden="0" customWidth="1"/>
    <x:col min="6" max="6" width="33.33000183105469" hidden="0" customWidth="1"/>
  </x:cols>
  <x:sheetData>
    <x:row r="1">
      <x:c r="A1" s="4" t="str">
        <x:v>Model checks</x:v>
      </x:c>
      <x:c r="B1" s="4" t="str">
        <x:v>Model checks</x:v>
      </x:c>
      <x:c r="C1" s="4" t="str">
        <x:v>Model checks</x:v>
      </x:c>
      <x:c r="D1" s="4" t="str">
        <x:v>Model checks</x:v>
      </x:c>
      <x:c r="E1" s="4" t="str">
        <x:v>Model checks</x:v>
      </x:c>
      <x:c r="F1" s="4" t="str">
        <x:v>Model checks</x:v>
      </x:c>
    </x:row>
    <x:row r="3">
      <x:c r="A3" s="17" t="str">
        <x:v>Check</x:v>
      </x:c>
      <x:c r="B3" s="17" t="str">
        <x:v>Conservative</x:v>
      </x:c>
      <x:c r="C3" s="17" t="str">
        <x:v>Base</x:v>
      </x:c>
      <x:c r="D3" s="17" t="str">
        <x:v>Upside</x:v>
      </x:c>
      <x:c r="E3" s="17" t="str">
        <x:v>Status logic</x:v>
      </x:c>
      <x:c r="F3" s="17" t="str">
        <x:v>Fix if failed</x:v>
      </x:c>
    </x:row>
    <x:row r="4">
      <x:c r="A4" s="18" t="str">
        <x:v>Gross margin above target</x:v>
      </x:c>
      <x:c r="B4" s="18" t="b">
        <x:f>'Unit Economics'!B21&gt;=Assumptions!B27</x:f>
        <x:v>0</x:v>
      </x:c>
      <x:c r="C4" s="18" t="b">
        <x:f>'Unit Economics'!C21&gt;=Assumptions!C27</x:f>
        <x:v>1</x:v>
      </x:c>
      <x:c r="D4" s="18" t="b">
        <x:f>'Unit Economics'!D21&gt;=Assumptions!D27</x:f>
        <x:v>1</x:v>
      </x:c>
      <x:c r="E4" s="18" t="str">
        <x:v>Product GM &gt;= target</x:v>
      </x:c>
      <x:c r="F4" s="18" t="str">
        <x:v>Raise price, reduce image/video frequency, move video to tokens.</x:v>
      </x:c>
    </x:row>
    <x:row r="5">
      <x:c r="A5" s="18" t="str">
        <x:v>Payback within target</x:v>
      </x:c>
      <x:c r="B5" s="18" t="b">
        <x:f>'Unit Economics'!B27&lt;=Assumptions!B28</x:f>
        <x:v>0</x:v>
      </x:c>
      <x:c r="C5" s="18" t="b">
        <x:f>'Unit Economics'!C27&lt;=Assumptions!C28</x:f>
        <x:v>1</x:v>
      </x:c>
      <x:c r="D5" s="18" t="b">
        <x:f>'Unit Economics'!D27&lt;=Assumptions!D28</x:f>
        <x:v>1</x:v>
      </x:c>
      <x:c r="E5" s="18" t="str">
        <x:v>Payback &lt;= target months</x:v>
      </x:c>
      <x:c r="F5" s="18" t="str">
        <x:v>Reduce CAC, increase annual mix, improve trial-to-paid.</x:v>
      </x:c>
    </x:row>
    <x:row r="6">
      <x:c r="A6" s="18" t="str">
        <x:v>Video not free daily loop</x:v>
      </x:c>
      <x:c r="B6" s="18" t="b">
        <x:f>Assumptions!B22&lt;=10</x:f>
        <x:v>1</x:v>
      </x:c>
      <x:c r="C6" s="18" t="b">
        <x:f>Assumptions!C22&lt;=10</x:f>
        <x:v>1</x:v>
      </x:c>
      <x:c r="D6" s="18" t="b">
        <x:f>Assumptions!D22&lt;=30</x:f>
        <x:v>1</x:v>
      </x:c>
      <x:c r="E6" s="18" t="str">
        <x:v>Video seconds per paid user/month capped</x:v>
      </x:c>
      <x:c r="F6" s="18" t="str">
        <x:v>Move video to premium packs or milestone rewards.</x:v>
      </x:c>
    </x:row>
    <x:row r="7">
      <x:c r="A7" s="18" t="str">
        <x:v>Activation viable</x:v>
      </x:c>
      <x:c r="B7" s="18" t="b">
        <x:f>Assumptions!B5&gt;=0.3</x:f>
        <x:v>1</x:v>
      </x:c>
      <x:c r="C7" s="18" t="b">
        <x:f>Assumptions!C5&gt;=0.45</x:f>
        <x:v>1</x:v>
      </x:c>
      <x:c r="D7" s="18" t="b">
        <x:f>Assumptions!D5&gt;=0.55</x:f>
        <x:v>1</x:v>
      </x:c>
      <x:c r="E7" s="18" t="str">
        <x:v>First value moment clear</x:v>
      </x:c>
      <x:c r="F7" s="18" t="str">
        <x:v>Simplify onboarding and first episode.</x:v>
      </x:c>
    </x:row>
    <x:row r="8">
      <x:c r="A8" s="18" t="str">
        <x:v>Overall model status</x:v>
      </x:c>
      <x:c r="B8" s="18" t="str">
        <x:f>IF(AND(B4:B7),"OK","Needs work")</x:f>
        <x:v>Needs work</x:v>
      </x:c>
      <x:c r="C8" s="18" t="str">
        <x:f>IF(AND(C4:C7),"OK","Needs work")</x:f>
        <x:v>OK</x:v>
      </x:c>
      <x:c r="D8" s="18" t="str">
        <x:f>IF(AND(D4:D7),"OK","Needs work")</x:f>
        <x:v>OK</x:v>
      </x:c>
      <x:c r="E8" s="18" t="str">
        <x:v>All checks pass</x:v>
      </x:c>
      <x:c r="F8" s="18" t="str">
        <x:v>Use failed check rows above.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7.780000686645508" hidden="0" customWidth="1"/>
    <x:col min="3" max="3" width="27.780000686645508" hidden="0" customWidth="1"/>
    <x:col min="4" max="4" width="46.66999816894531" hidden="0" customWidth="1"/>
    <x:col min="5" max="5" width="40" hidden="0" customWidth="1"/>
  </x:cols>
  <x:sheetData>
    <x:row r="1">
      <x:c r="A1" s="4" t="str">
        <x:v>Sources and pricing validation notes</x:v>
      </x:c>
      <x:c r="B1" s="4" t="str">
        <x:v>Sources and pricing validation notes</x:v>
      </x:c>
      <x:c r="C1" s="4" t="str">
        <x:v>Sources and pricing validation notes</x:v>
      </x:c>
      <x:c r="D1" s="4" t="str">
        <x:v>Sources and pricing validation notes</x:v>
      </x:c>
      <x:c r="E1" s="4" t="str">
        <x:v>Sources and pricing validation notes</x:v>
      </x:c>
    </x:row>
    <x:row r="3">
      <x:c r="A3" s="17" t="str">
        <x:v>Item</x:v>
      </x:c>
      <x:c r="B3" s="17" t="str">
        <x:v>Used for</x:v>
      </x:c>
      <x:c r="C3" s="17" t="str">
        <x:v>Current treatment in model</x:v>
      </x:c>
      <x:c r="D3" s="17" t="str">
        <x:v>Source URL</x:v>
      </x:c>
      <x:c r="E3" s="17" t="str">
        <x:v>Note</x:v>
      </x:c>
    </x:row>
    <x:row r="4">
      <x:c r="A4" s="18" t="str">
        <x:v>Apple Small Business Program</x:v>
      </x:c>
      <x:c r="B4" s="18" t="str">
        <x:v>Store fee / stress case</x:v>
      </x:c>
      <x:c r="C4" s="18" t="str">
        <x:v>15% eligible case; 30% stress case</x:v>
      </x:c>
      <x:c r="D4" s="18" t="str">
        <x:v>https://developer.apple.com/app-store/small-business-program/</x:v>
      </x:c>
      <x:c r="E4" s="18" t="str">
        <x:v>Need account eligibility check.</x:v>
      </x:c>
    </x:row>
    <x:row r="5">
      <x:c r="A5" s="18" t="str">
        <x:v>Google Play service fee</x:v>
      </x:c>
      <x:c r="B5" s="18" t="str">
        <x:v>Store fee</x:v>
      </x:c>
      <x:c r="C5" s="18" t="str">
        <x:v>15% subscription service fee directionally</x:v>
      </x:c>
      <x:c r="D5" s="18" t="str">
        <x:v>https://support.google.com/googleplay/android-developer/answer/112622</x:v>
      </x:c>
      <x:c r="E5" s="18" t="str">
        <x:v>Country/account rules may vary.</x:v>
      </x:c>
    </x:row>
    <x:row r="6">
      <x:c r="A6" s="18" t="str">
        <x:v>RevenueCat</x:v>
      </x:c>
      <x:c r="B6" s="18" t="str">
        <x:v>Billing tooling</x:v>
      </x:c>
      <x:c r="C6" s="18" t="str">
        <x:v>1% working assumption</x:v>
      </x:c>
      <x:c r="D6" s="18" t="str">
        <x:v>https://www.revenuecat.com/pricing/</x:v>
      </x:c>
      <x:c r="E6" s="18" t="str">
        <x:v>Replace with exact plan once volume known.</x:v>
      </x:c>
    </x:row>
    <x:row r="7">
      <x:c r="A7" s="18" t="str">
        <x:v>PostHog</x:v>
      </x:c>
      <x:c r="B7" s="18" t="str">
        <x:v>Analytics</x:v>
      </x:c>
      <x:c r="C7" s="18" t="str">
        <x:v>Included in infra cost per active user</x:v>
      </x:c>
      <x:c r="D7" s="18" t="str">
        <x:v>https://posthog.com/pricing</x:v>
      </x:c>
      <x:c r="E7" s="18" t="str">
        <x:v>Usage based by events/session replay/features.</x:v>
      </x:c>
    </x:row>
    <x:row r="8">
      <x:c r="A8" s="18" t="str">
        <x:v>OpenAI Images</x:v>
      </x:c>
      <x:c r="B8" s="18" t="str">
        <x:v>Image/avatar cards</x:v>
      </x:c>
      <x:c r="C8" s="18" t="str">
        <x:v>Blended cost per image assumption</x:v>
      </x:c>
      <x:c r="D8" s="18" t="str">
        <x:v>https://openai.com/index/image-generation-api/</x:v>
      </x:c>
      <x:c r="E8" s="18" t="str">
        <x:v>Replace with exact model/quality.</x:v>
      </x:c>
    </x:row>
    <x:row r="9">
      <x:c r="A9" s="18" t="str">
        <x:v>Stability AI</x:v>
      </x:c>
      <x:c r="B9" s="18" t="str">
        <x:v>Image/video API alternative</x:v>
      </x:c>
      <x:c r="C9" s="18" t="str">
        <x:v>Blended cost per image assumption</x:v>
      </x:c>
      <x:c r="D9" s="18" t="str">
        <x:v>https://platform.stability.ai/pricing</x:v>
      </x:c>
      <x:c r="E9" s="18" t="str">
        <x:v>Credits vary by model.</x:v>
      </x:c>
    </x:row>
    <x:row r="10">
      <x:c r="A10" s="18" t="str">
        <x:v>Replicate</x:v>
      </x:c>
      <x:c r="B10" s="18" t="str">
        <x:v>Model marketplace</x:v>
      </x:c>
      <x:c r="C10" s="18" t="str">
        <x:v>Blended experimentation cost</x:v>
      </x:c>
      <x:c r="D10" s="18" t="str">
        <x:v>https://replicate.com/pricing</x:v>
      </x:c>
      <x:c r="E10" s="18" t="str">
        <x:v>Pay as you go by model runtime.</x:v>
      </x:c>
    </x:row>
    <x:row r="11">
      <x:c r="A11" s="18" t="str">
        <x:v>Runway</x:v>
      </x:c>
      <x:c r="B11" s="18" t="str">
        <x:v>Cinematic video</x:v>
      </x:c>
      <x:c r="C11" s="18" t="str">
        <x:v>Video cost per second range</x:v>
      </x:c>
      <x:c r="D11" s="18" t="str">
        <x:v>https://docs.dev.runwayml.com/usage/billing/</x:v>
      </x:c>
      <x:c r="E11" s="18" t="str">
        <x:v>Use for rare premium scenes.</x:v>
      </x:c>
    </x:row>
    <x:row r="12">
      <x:c r="A12" s="18" t="str">
        <x:v>Luma</x:v>
      </x:c>
      <x:c r="B12" s="18" t="str">
        <x:v>Text/image-to-video</x:v>
      </x:c>
      <x:c r="C12" s="18" t="str">
        <x:v>Video cost per second range</x:v>
      </x:c>
      <x:c r="D12" s="18" t="str">
        <x:v>https://lumalabs.ai/pricing</x:v>
      </x:c>
      <x:c r="E12" s="18" t="str">
        <x:v>Use for cinematic visual episodes.</x:v>
      </x:c>
    </x:row>
    <x:row r="13">
      <x:c r="A13" s="18" t="str">
        <x:v>HeyGen</x:v>
      </x:c>
      <x:c r="B13" s="18" t="str">
        <x:v>Avatar video</x:v>
      </x:c>
      <x:c r="C13" s="18" t="str">
        <x:v>Premium video-avatar only</x:v>
      </x:c>
      <x:c r="D13" s="18" t="str">
        <x:v>https://help.heygen.com/en/articles/10060327-heygen-api-pricing-explained</x:v>
      </x:c>
      <x:c r="E13" s="18" t="str">
        <x:v>Per-minute avatar pricing; not free daily loop.</x:v>
      </x:c>
    </x:row>
    <x:row r="14">
      <x:c r="A14" s="18" t="str">
        <x:v>D-ID</x:v>
      </x:c>
      <x:c r="B14" s="18" t="str">
        <x:v>Talking avatar</x:v>
      </x:c>
      <x:c r="C14" s="18" t="str">
        <x:v>Premium video-avatar only</x:v>
      </x:c>
      <x:c r="D14" s="18" t="str">
        <x:v>https://www.d-id.com/pricing/api/</x:v>
      </x:c>
      <x:c r="E14" s="18" t="str">
        <x:v>Check watermark, credits, consent.</x:v>
      </x:c>
    </x:row>
    <x:row r="15">
      <x:c r="A15" s="18" t="str">
        <x:v>AKOOL</x:v>
      </x:c>
      <x:c r="B15" s="18" t="str">
        <x:v>Talking/streaming avatar</x:v>
      </x:c>
      <x:c r="C15" s="18" t="str">
        <x:v>Premium video-avatar only</x:v>
      </x:c>
      <x:c r="D15" s="18" t="str">
        <x:v>https://akool.com/ja-jp/api-pricing</x:v>
      </x:c>
      <x:c r="E15" s="18" t="str">
        <x:v>Credit-based API pricing.</x:v>
      </x:c>
    </x:row>
    <x:row r="16">
      <x:c r="A16" s="18" t="str">
        <x:v>Creatify</x:v>
      </x:c>
      <x:c r="B16" s="18" t="str">
        <x:v>Avatar/ad video</x:v>
      </x:c>
      <x:c r="C16" s="18" t="str">
        <x:v>Marketing and premium clips</x:v>
      </x:c>
      <x:c r="D16" s="18" t="str">
        <x:v>https://docs.creatify.ai/billing</x:v>
      </x:c>
      <x:c r="E16" s="18" t="str">
        <x:v>Credits by feature/video length.</x:v>
      </x:c>
    </x:row>
    <x:row r="17">
      <x:c r="A17" s="18" t="str">
        <x:v>ComfyUI / local models</x:v>
      </x:c>
      <x:c r="B17" s="18" t="str">
        <x:v>Scale cost reduction</x:v>
      </x:c>
      <x:c r="C17" s="18" t="str">
        <x:v>Not MVP default; scale lever</x:v>
      </x:c>
      <x:c r="D17" s="18" t="str">
        <x:v>https://github.com/comfy-org/ComfyUI</x:v>
      </x:c>
      <x:c r="E17" s="18" t="str">
        <x:v>Requires GPU/MLOps/QA.</x:v>
      </x:c>
    </x:row>
  </x:sheetData>
  <x:mergeCells>
    <x:mergeCell ref="A1:E1"/>
  </x:mergeCells>
  <x:pageMargins left="0.7" right="0.7" top="0.75" bottom="0.75" header="0.3" footer="0.3"/>
</x:worksheet>
</file>